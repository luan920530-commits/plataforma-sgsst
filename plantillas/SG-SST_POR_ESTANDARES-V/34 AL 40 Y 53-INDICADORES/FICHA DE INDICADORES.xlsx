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0730" windowHeight="11160"/>
  </bookViews>
  <sheets>
    <sheet name="DECRETO 1072-2015" sheetId="7" r:id="rId1"/>
    <sheet name="RESOLUCIÓN 0312-2019" sheetId="6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77" i="7" l="1"/>
  <c r="BD76" i="7"/>
  <c r="BD75" i="7"/>
  <c r="BC73" i="7"/>
  <c r="BD73" i="7" s="1"/>
  <c r="BC71" i="7"/>
  <c r="BD71" i="7" s="1"/>
  <c r="BC69" i="7"/>
  <c r="BD69" i="7" s="1"/>
  <c r="BD68" i="7"/>
  <c r="BC66" i="7"/>
  <c r="BD66" i="7" s="1"/>
  <c r="BC64" i="7"/>
  <c r="BD64" i="7" s="1"/>
  <c r="BC62" i="7"/>
  <c r="BD62" i="7" s="1"/>
  <c r="BC56" i="7" l="1"/>
  <c r="BD56" i="7" s="1"/>
  <c r="BC54" i="7"/>
  <c r="BD54" i="7" s="1"/>
  <c r="BD53" i="7"/>
  <c r="BC51" i="7"/>
  <c r="BD51" i="7" s="1"/>
  <c r="BC49" i="7"/>
  <c r="BD49" i="7" s="1"/>
  <c r="BC47" i="7"/>
  <c r="BD47" i="7" s="1"/>
  <c r="AY47" i="7"/>
  <c r="AZ47" i="7" s="1"/>
  <c r="AU47" i="7"/>
  <c r="AV47" i="7" s="1"/>
  <c r="AQ47" i="7"/>
  <c r="AR47" i="7" s="1"/>
  <c r="AM47" i="7"/>
  <c r="AN47" i="7" s="1"/>
  <c r="AI47" i="7"/>
  <c r="AJ47" i="7" s="1"/>
  <c r="AE47" i="7"/>
  <c r="AF47" i="7" s="1"/>
  <c r="AA47" i="7"/>
  <c r="AB47" i="7" s="1"/>
  <c r="W47" i="7"/>
  <c r="X47" i="7" s="1"/>
  <c r="S47" i="7"/>
  <c r="T47" i="7" s="1"/>
  <c r="O47" i="7"/>
  <c r="P47" i="7" s="1"/>
  <c r="K47" i="7"/>
  <c r="L47" i="7" s="1"/>
  <c r="BC45" i="7"/>
  <c r="BD45" i="7" s="1"/>
  <c r="AY45" i="7"/>
  <c r="AZ45" i="7" s="1"/>
  <c r="AU45" i="7"/>
  <c r="AV45" i="7" s="1"/>
  <c r="AQ45" i="7"/>
  <c r="AR45" i="7" s="1"/>
  <c r="AM45" i="7"/>
  <c r="AN45" i="7" s="1"/>
  <c r="AI45" i="7"/>
  <c r="AJ45" i="7" s="1"/>
  <c r="AE45" i="7"/>
  <c r="AF45" i="7" s="1"/>
  <c r="AA45" i="7"/>
  <c r="AB45" i="7" s="1"/>
  <c r="W45" i="7"/>
  <c r="X45" i="7" s="1"/>
  <c r="S45" i="7"/>
  <c r="T45" i="7" s="1"/>
  <c r="O45" i="7"/>
  <c r="P45" i="7" s="1"/>
  <c r="K45" i="7"/>
  <c r="L45" i="7" s="1"/>
  <c r="BC43" i="7"/>
  <c r="BD43" i="7" s="1"/>
  <c r="BC41" i="7"/>
  <c r="BD41" i="7" s="1"/>
  <c r="BC39" i="7"/>
  <c r="BD39" i="7" s="1"/>
  <c r="BC37" i="7"/>
  <c r="BD37" i="7" s="1"/>
  <c r="BC35" i="7"/>
  <c r="BD35" i="7" s="1"/>
  <c r="BC33" i="7"/>
  <c r="BD33" i="7" s="1"/>
  <c r="BC31" i="7"/>
  <c r="BD31" i="7" s="1"/>
  <c r="BC29" i="7"/>
  <c r="BD29" i="7" s="1"/>
  <c r="BC27" i="7"/>
  <c r="BD27" i="7" s="1"/>
  <c r="AY27" i="7"/>
  <c r="AZ27" i="7" s="1"/>
  <c r="AU27" i="7"/>
  <c r="AV27" i="7" s="1"/>
  <c r="AQ27" i="7"/>
  <c r="AR27" i="7" s="1"/>
  <c r="AM27" i="7"/>
  <c r="AN27" i="7" s="1"/>
  <c r="AI27" i="7"/>
  <c r="AJ27" i="7" s="1"/>
  <c r="AE27" i="7"/>
  <c r="AF27" i="7" s="1"/>
  <c r="AA27" i="7"/>
  <c r="AB27" i="7" s="1"/>
  <c r="W27" i="7"/>
  <c r="X27" i="7" s="1"/>
  <c r="S27" i="7"/>
  <c r="T27" i="7" s="1"/>
  <c r="O27" i="7"/>
  <c r="P27" i="7" s="1"/>
  <c r="K27" i="7"/>
  <c r="L27" i="7" s="1"/>
  <c r="K25" i="7"/>
  <c r="L25" i="7" s="1"/>
  <c r="O25" i="7"/>
  <c r="P25" i="7" s="1"/>
  <c r="S25" i="7"/>
  <c r="T25" i="7" s="1"/>
  <c r="W25" i="7"/>
  <c r="X25" i="7" s="1"/>
  <c r="AA25" i="7"/>
  <c r="AB25" i="7" s="1"/>
  <c r="AE25" i="7"/>
  <c r="AF25" i="7" s="1"/>
  <c r="AI25" i="7"/>
  <c r="AJ25" i="7" s="1"/>
  <c r="AM25" i="7"/>
  <c r="AN25" i="7" s="1"/>
  <c r="AQ25" i="7"/>
  <c r="AR25" i="7" s="1"/>
  <c r="AU25" i="7"/>
  <c r="AV25" i="7" s="1"/>
  <c r="AY25" i="7"/>
  <c r="AZ25" i="7" s="1"/>
  <c r="BC25" i="7"/>
  <c r="BD25" i="7" s="1"/>
  <c r="BC23" i="7"/>
  <c r="BD23" i="7" s="1"/>
  <c r="BD18" i="7" l="1"/>
  <c r="BD17" i="7"/>
  <c r="BD16" i="7"/>
  <c r="BD15" i="7"/>
  <c r="BD14" i="7"/>
  <c r="BD13" i="7"/>
  <c r="BC11" i="7"/>
  <c r="BD11" i="7" s="1"/>
  <c r="BD10" i="7"/>
  <c r="BD9" i="7"/>
  <c r="BC7" i="7"/>
  <c r="BD7" i="7" s="1"/>
  <c r="BC5" i="7" l="1"/>
  <c r="BD5" i="7" s="1"/>
  <c r="BN217" i="6" l="1"/>
  <c r="BI217" i="6"/>
  <c r="BD217" i="6"/>
  <c r="AY217" i="6"/>
  <c r="AT217" i="6"/>
  <c r="AO217" i="6"/>
  <c r="AJ217" i="6"/>
  <c r="AE217" i="6"/>
  <c r="Z217" i="6"/>
  <c r="U217" i="6"/>
  <c r="P217" i="6"/>
  <c r="K217" i="6"/>
  <c r="BN184" i="6"/>
  <c r="BI184" i="6"/>
  <c r="BD184" i="6"/>
  <c r="AY184" i="6"/>
  <c r="AT184" i="6"/>
  <c r="AO184" i="6"/>
  <c r="AJ184" i="6"/>
  <c r="AE184" i="6"/>
  <c r="Z184" i="6"/>
  <c r="U184" i="6"/>
  <c r="P184" i="6"/>
  <c r="K184" i="6"/>
  <c r="BN156" i="6"/>
  <c r="BI156" i="6"/>
  <c r="BD156" i="6"/>
  <c r="AY156" i="6"/>
  <c r="AT156" i="6"/>
  <c r="AO156" i="6"/>
  <c r="AJ156" i="6"/>
  <c r="AE156" i="6"/>
  <c r="Z156" i="6"/>
  <c r="U156" i="6"/>
  <c r="P156" i="6"/>
  <c r="K156" i="6"/>
  <c r="BN119" i="6"/>
  <c r="BI119" i="6"/>
  <c r="BD119" i="6"/>
  <c r="AY119" i="6"/>
  <c r="AT119" i="6"/>
  <c r="AO119" i="6"/>
  <c r="AJ119" i="6"/>
  <c r="AE119" i="6"/>
  <c r="Z119" i="6"/>
  <c r="U119" i="6"/>
  <c r="P119" i="6"/>
  <c r="K119" i="6"/>
  <c r="BN90" i="6"/>
  <c r="BN62" i="6"/>
  <c r="BN33" i="6"/>
  <c r="BN5" i="6"/>
  <c r="BI5" i="6"/>
  <c r="BD5" i="6"/>
  <c r="AY5" i="6"/>
  <c r="AT5" i="6"/>
  <c r="AO5" i="6"/>
  <c r="AJ5" i="6"/>
  <c r="AE5" i="6"/>
  <c r="Z5" i="6"/>
  <c r="U5" i="6"/>
  <c r="P5" i="6"/>
  <c r="K5" i="6"/>
</calcChain>
</file>

<file path=xl/sharedStrings.xml><?xml version="1.0" encoding="utf-8"?>
<sst xmlns="http://schemas.openxmlformats.org/spreadsheetml/2006/main" count="1337" uniqueCount="310">
  <si>
    <t>DEFINICION DEL INDICADOR</t>
  </si>
  <si>
    <t>INTERPRETACION</t>
  </si>
  <si>
    <t>LIMITE DEL INDICADOR</t>
  </si>
  <si>
    <t>METODO DE CALCULO Y/O VERIFICACION</t>
  </si>
  <si>
    <t>FUENTE DE INFORMACION</t>
  </si>
  <si>
    <t>PERIODICIDAD</t>
  </si>
  <si>
    <t>RESPONSABLE</t>
  </si>
  <si>
    <t>ANUAL</t>
  </si>
  <si>
    <t>PLAN DE TRABAJO Y CRONOGRAMA</t>
  </si>
  <si>
    <t>ASIGNACION DE RESPONSABILIDADES</t>
  </si>
  <si>
    <t>ASIGNACION DE RECURSOS</t>
  </si>
  <si>
    <t>PLAN PARA RESPUESTA ANTE EMERGENCIAS</t>
  </si>
  <si>
    <t>Evalúa el grado de gestión para minimizar el riesgo</t>
  </si>
  <si>
    <t>MENSUAL</t>
  </si>
  <si>
    <t>EVALUACION DE LAS CONDICIONES DE SALUD</t>
  </si>
  <si>
    <t>ACCIONES CORRECTIVAS Y PREVENTIVAS</t>
  </si>
  <si>
    <t>PROGRAMAS DE VIGILANCIA EPIDEMIOLOGICA</t>
  </si>
  <si>
    <t>REQUISITOS LEGALES</t>
  </si>
  <si>
    <t xml:space="preserve">Medir el cumplimiento de los requisitos legales aplicables a la organización </t>
  </si>
  <si>
    <t>PLAN DE TRABAJO</t>
  </si>
  <si>
    <t>COMUNICARLO A :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</si>
  <si>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</si>
  <si>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</si>
  <si>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</si>
  <si>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</si>
  <si>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</si>
  <si>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</si>
  <si>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</si>
  <si>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</si>
  <si>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</si>
  <si>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</si>
  <si>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</si>
  <si>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</si>
  <si>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RESULTADOS </t>
  </si>
  <si>
    <t>CODIGO: SG-SST-MA-08       VERSION: 01                                  FECHA ELABORACION: 23/05/2019</t>
  </si>
  <si>
    <t>PLAN DE CAPACITACIÓN EN SEGURIDAD Y SALUD EN EL TRABAJO</t>
  </si>
  <si>
    <t>Objetivos del SG-SST</t>
  </si>
  <si>
    <t>EJECUCIÓN PLAN DE TRABAJO ANUAL</t>
  </si>
  <si>
    <t>MEDICIONES AMBIENTALES</t>
  </si>
  <si>
    <t>REPORTE E INVESTIGACIÓN DE LOS INCIDENTES, ACCIDENTES Y ENFERMEDADES LABORALES</t>
  </si>
  <si>
    <t>Cumplimiento del proceso de reporte e investigación de los incidentes, accidentes y enfermedades laborales</t>
  </si>
  <si>
    <t>EVALUACIÓN DE LAS ACCIONES CORRECTIVAS Y PREVENTIVAS</t>
  </si>
  <si>
    <t>Mide el nivel de eficiencia de las acciones correctivas y preventivas implementadas</t>
  </si>
  <si>
    <t>Reporte de acciones correctivas y preventivas</t>
  </si>
  <si>
    <t>CUMPLIMIENTO PROGRAMA DE VIGILANCIA EPIDEMIOLÓGICOS</t>
  </si>
  <si>
    <t>Midel el nivel de cumplimiento de los programas de vigialancia epidemiológicos establecidos por la empresa</t>
  </si>
  <si>
    <t>Programas de vigialancia epidemiológicos diseñados</t>
  </si>
  <si>
    <t>Mide el nivel de cumplimiento de los trabajadores rehabilitados de la organización</t>
  </si>
  <si>
    <t>Programa de rehabilitación</t>
  </si>
  <si>
    <t>FRECUENCIA DE ACCIDENTALIDAD</t>
  </si>
  <si>
    <t>Reporte de accidentes de trabajo</t>
  </si>
  <si>
    <t>INCIDENCIA DE LA ENFERMEDAD LABORAL</t>
  </si>
  <si>
    <t>PREVALENCIA DE LA ENFERMEDAD LABORAL</t>
  </si>
  <si>
    <t>Mide el cumplimiento de los objetivos de la política SST</t>
  </si>
  <si>
    <t>Política SST</t>
  </si>
  <si>
    <t>Asignación de responsabilidades</t>
  </si>
  <si>
    <t>Alta gerencia, COPASST/VIGÍA, CCL, brigadistas, área SST, trabajadores</t>
  </si>
  <si>
    <t>CONFORMACIÓN Y FUNCIONAMIENTO DEL VIGIA O DEL COPASST</t>
  </si>
  <si>
    <t>PPPRAE</t>
  </si>
  <si>
    <t>Plan de capacitación</t>
  </si>
  <si>
    <t>Área SST</t>
  </si>
  <si>
    <t>Área SST, COPASST o VIGÍA</t>
  </si>
  <si>
    <t>Mide el estado de avance de la organización en el tema de seguridad y salud en el trabajo de acuerdo a la resolución 0312/2019</t>
  </si>
  <si>
    <t>Evaluación inicial o autoevaluación del SG-SST</t>
  </si>
  <si>
    <t>Mide el desarrollo del plan de trabajo del SGSST.</t>
  </si>
  <si>
    <t>INTERVENCION DE PELIGROS IDENTIFICADOS Y LOS RIESGOS PRIORIZADOS</t>
  </si>
  <si>
    <t>Mide el grado de medidas  que se toman con los hallazgos.</t>
  </si>
  <si>
    <t>REGISTROS ESTADISTICOS DE INCIDENTES, ACCIDENTES DE TRABAJO Y ENFERMEDAD LABORAL</t>
  </si>
  <si>
    <t>EJECUCION DEL PLAN DE PREVENCIÓN, PREPARACIÓN Y RESPUESTA ANTE EMERGENCIAS</t>
  </si>
  <si>
    <t>PPPRAE                                                    Plan de trabajo anual                    Plan de capacitación anual</t>
  </si>
  <si>
    <t>ESTRATEGIA DE CONSERVACIÓN DE LOS DOCUMENTOS</t>
  </si>
  <si>
    <t>Registros físicos y digitales</t>
  </si>
  <si>
    <t>Matriz de requisitos legalees.</t>
  </si>
  <si>
    <t>CUMPLIMIENTO DE LOS OBJETIVOS DEL SG-SST</t>
  </si>
  <si>
    <t>Mide el cumplimiento de los objetivos del SG-SST establecidos</t>
  </si>
  <si>
    <t>Mide la comunicación de los objetivos a todos los trabajadores</t>
  </si>
  <si>
    <t xml:space="preserve"> CUMPLIMIENTO DEL PROGRAMA DE REHABILITACIÓN</t>
  </si>
  <si>
    <t>ANÁLISIS DE LOS REGISTROS DE ENFERMEDAD LABORAL, INCIDENTES, ACCIDENTES Y AUSENTISMO LABORAL POR ENFERMEDAD</t>
  </si>
  <si>
    <t>ANÁLISIS DE LOS RESULTADOS DE LAS MEDIDAS DE INTERVENCIÓN IMPLEMENTADAS EN LOS PELIGROS Y RIESGOS PRIORIZADOS</t>
  </si>
  <si>
    <t>EVALUACIÓN DEL CUMPLIMIENTO DEL CRONOGRAMA DE LAS MEDICIONES AMBIENTALES Y SUS RESULTADOS</t>
  </si>
  <si>
    <t>Matriz IPEVR, inspecciones, reuniones COPASST, CCL, brigadas</t>
  </si>
  <si>
    <t>Mide el cumplimiento de seguimiento a los análisis de IT, AT y EL, establecidos en la Res 0312/2019</t>
  </si>
  <si>
    <t>Mide el cumplimiento al cronograma de mediciones ambientales y sus resultados</t>
  </si>
  <si>
    <t>Si</t>
  </si>
  <si>
    <t>Número de veces que ocurre un AT en el mes</t>
  </si>
  <si>
    <t>SEVERIDAD DE ACCIDENTALIDAD</t>
  </si>
  <si>
    <t>Número de días perdidos por accidentes de trabajo por incapacidad temporal</t>
  </si>
  <si>
    <t>Número de días perdidos por PCL</t>
  </si>
  <si>
    <t>Número de días perdidos por muerte de trabajador</t>
  </si>
  <si>
    <t>(# de días de incapacidad por accidente de trabajo en el mes  / # de trabajadores en el mes) X 100</t>
  </si>
  <si>
    <t>(# de días de incapacidad por accidente de trabajo en el mes + (6000 X % PCL)  / # de trabajadores en el mes) X 100</t>
  </si>
  <si>
    <t>(# de días de incapacidad por accidente de trabajo en el mes + 6000  / # de trabajadores en el mes) X 100</t>
  </si>
  <si>
    <t>Registro de incapacidades por AT y lista de trabajadores en el mes</t>
  </si>
  <si>
    <t>Registro de incapacidades por AT en el mes, calificación de PCL a trabajadores y lista de trabajadores en el mes</t>
  </si>
  <si>
    <t>Registro de incapacidades por AT en el mes, registro de AT mortales en el mes  y lista de trabajadores en el mes</t>
  </si>
  <si>
    <t>PROPORCIÓN DE ACCIDENTES DE TRABAJO MORTALES</t>
  </si>
  <si>
    <t>Registro de accidentes de trabajo mortales</t>
  </si>
  <si>
    <t>Número de casos de enfermedad laboral presentes en una población en un periodo de tiempo</t>
  </si>
  <si>
    <t>Reportes de enfermedad laboral, registro de trabajadores en el año</t>
  </si>
  <si>
    <t>Número de casos nuevos de enfermedad laboral en una población determinada en un período de tiempo</t>
  </si>
  <si>
    <t>(# de casos nuevos de enfermedad laboral en el periodo “Z” / Promedio de trabajadores en el periodo “Z”) X 100.000</t>
  </si>
  <si>
    <t>(# de casos nuevos y antiguos de enfermedad laboral en el periodo “Z” / Promedio de trabajadores en el periodo “Z”) X 100.000</t>
  </si>
  <si>
    <t>AUSENTISMO POR CAUSA MÉDICA</t>
  </si>
  <si>
    <t>No asistencia al trabajo por incapacidad médica</t>
  </si>
  <si>
    <t>Registro de incapacidades laborales y comunes</t>
  </si>
  <si>
    <t>MÉTODO PARA LA IDENTIFICACION DE PELIGROS Y EVALUACION DE RIESGOS</t>
  </si>
  <si>
    <t>SI</t>
  </si>
  <si>
    <t xml:space="preserve">Se establecieron los objetivos del SG-SST (si o no) </t>
  </si>
  <si>
    <t>Alta gerencia, COPASST/VIGÍA, CCL, brigadistas, área SST</t>
  </si>
  <si>
    <t>LOGO EMPRESA</t>
  </si>
  <si>
    <t>(# de accidentes de trabajo que se presentaron en el mes/ # de trabajadores en el mes) x 100</t>
  </si>
  <si>
    <t>(# de estándares cumplidos / # de estándares exigidos) X 100%</t>
  </si>
  <si>
    <t>(# de acciones preventivas y correctivas implementadas eficientemente / # de acciones preventivas y correctivas registradas) X 100%</t>
  </si>
  <si>
    <t>(# de actividades ejecutadas en los PVE / # de actividades planificadas en los PVE) X 100%</t>
  </si>
  <si>
    <t>(# de accidentes de trabajo mortales que se presentaron en el año / Total de accidentes de trabajo que se presentaron en el año ) X 100%</t>
  </si>
  <si>
    <t>(# de días de ausencia por incapacidad laboral o común en el mes / # de días de trabajo programados en el mes ) X 100%</t>
  </si>
  <si>
    <t>Se cumplió con la meta establecida del 80% de actividades ejecutadas del plan de trabajo anual (si o no)</t>
  </si>
  <si>
    <t>DATOS DEL MES</t>
  </si>
  <si>
    <t>Número de accidentes de trabajo mortales en el año</t>
  </si>
  <si>
    <t>CUMPLIMIENTO (SI/NO)</t>
  </si>
  <si>
    <t>INTERPRETACIÓN DE RESULTADO</t>
  </si>
  <si>
    <t>NO</t>
  </si>
  <si>
    <t>(# requisitos legales cumplidos / # de requisitos identificados en la matriz legal) X 100%</t>
  </si>
  <si>
    <t>CÓDIGO: XXXXXXXXX                                   VERSIÓN: XX                                                           FECHA DE ELABORACIÓN:                               XXXXXXXXXXXXXX</t>
  </si>
  <si>
    <t>1 mensual</t>
  </si>
  <si>
    <t># de accidentes en el mes:</t>
  </si>
  <si>
    <t>Por cada 100 trabajadores que laboraron en el mes de enero, se presentaron  3,33 accidentes de trabajo.</t>
  </si>
  <si>
    <t>Por cada 100 trabajadores que laboraron en el mes de diciembre, se presentaron 12,5 accidentes de trabajo.</t>
  </si>
  <si>
    <r>
      <rPr>
        <b/>
        <sz val="8"/>
        <color theme="1"/>
        <rFont val="Calibri"/>
        <family val="2"/>
        <scheme val="minor"/>
      </rPr>
      <t># de trabajadores en el mes:</t>
    </r>
    <r>
      <rPr>
        <sz val="8"/>
        <color theme="1"/>
        <rFont val="Calibri"/>
        <family val="2"/>
        <scheme val="minor"/>
      </rPr>
      <t xml:space="preserve"> </t>
    </r>
  </si>
  <si>
    <t># de accidentes de trabajo mortales en el año</t>
  </si>
  <si>
    <t>En el año 2020 el 4% de los accidentes de trabajo fueron mortales.</t>
  </si>
  <si>
    <t># de accidentes en el año</t>
  </si>
  <si>
    <t>1 anual</t>
  </si>
  <si>
    <t># de casos nuevos de enfermedad laboral en el año</t>
  </si>
  <si>
    <t>Por cada 100.000 trabajadores, existieron 5.150,66 casos nuevos de enfermedad laboral en el año 2020</t>
  </si>
  <si>
    <t># promedio de treabajadores en el año</t>
  </si>
  <si>
    <t>2 anuales</t>
  </si>
  <si>
    <t># de casos nuevos Y antiguos de enfermedad laboral en el año</t>
  </si>
  <si>
    <t>Por cada 100.000 trabajadores, existieron 10.301,31  casos de enfermedad laboral en el año 2020</t>
  </si>
  <si>
    <t>10 días de incapacidad mensual</t>
  </si>
  <si>
    <t># de días de ausencia por AT</t>
  </si>
  <si>
    <t xml:space="preserve">En el mes de enero se perdión el 2,67% de días programados de trabajo por incapacidad médica.  </t>
  </si>
  <si>
    <t>En el mes de diciembre se perdió el 5,21% de días programados de trabajo por incapacidad médica</t>
  </si>
  <si>
    <t># de días de ausencia por EL</t>
  </si>
  <si>
    <t># de días de ausencia por AC</t>
  </si>
  <si>
    <t># de días de ausencia por EC</t>
  </si>
  <si>
    <t># de días programados en el mes</t>
  </si>
  <si>
    <t># de trabajadores en el mes</t>
  </si>
  <si>
    <t>5 mensual</t>
  </si>
  <si>
    <t># de días de incapacidad por accidente de trabajo en el mes</t>
  </si>
  <si>
    <t>Por cada  100 trabajadores que laboraron en el mes de enero, se perdieron 25 días por accidente de trabajo</t>
  </si>
  <si>
    <t xml:space="preserve"># de días de incapacidad por AT en el mes </t>
  </si>
  <si>
    <t>Por cada 100 trabajadores que laboraron en el mes de enero,  se perdieron 3025 días por accidente de trabajo con PCL.</t>
  </si>
  <si>
    <t># de días cargados por PCL</t>
  </si>
  <si>
    <t>% PCL</t>
  </si>
  <si>
    <t># trabajadores en el mes</t>
  </si>
  <si>
    <t>Por cada 100 trabajadores que laboraron en el mes de enero,  se perdieron 15025 días por accidente de trabajo mortal.</t>
  </si>
  <si>
    <t xml:space="preserve"># de días cargados por muerte </t>
  </si>
  <si>
    <t>APLICACIÓN FÓRMULA</t>
  </si>
  <si>
    <t>ENERO                        (RESULTADO)</t>
  </si>
  <si>
    <t>(# de objetivos cumplidos de la política SST / #  de objetivos establecidos en la política SST) X 100%</t>
  </si>
  <si>
    <t>FEBRERO                  (RESULTADO)</t>
  </si>
  <si>
    <t>MARZO                         (RESULTADO)</t>
  </si>
  <si>
    <t>ABRIL                            (RESULTADO)</t>
  </si>
  <si>
    <t>MAYO                      (RESULTADO)</t>
  </si>
  <si>
    <t>JUNIO                       (RESULTADO)</t>
  </si>
  <si>
    <t>JULIO            (RESULTADO)</t>
  </si>
  <si>
    <t>AGOSTO                  (RESULTADO)</t>
  </si>
  <si>
    <t>SEPTIEMBRE                    (RESULTADO)</t>
  </si>
  <si>
    <t>NOVIEMBRE            (RESULTADO)</t>
  </si>
  <si>
    <t>OCTUBRE                     (RESULTADO)</t>
  </si>
  <si>
    <t>DICIEMBRE        (RESULTADO)</t>
  </si>
  <si>
    <t># de objetivos cumplidos de la política SST:</t>
  </si>
  <si>
    <t># de objetivos establecido en la política SST:</t>
  </si>
  <si>
    <t xml:space="preserve"> Comunicación de la política SST a todos los trabajadores en la inducción</t>
  </si>
  <si>
    <t>Registros de inducción</t>
  </si>
  <si>
    <t>(# de trabajadores que le comunicaron la política SST en la inducción/ # de trabajadores en el año) X 100%</t>
  </si>
  <si>
    <t>POLÍTICA SST Y SU COMUNICACIÓN</t>
  </si>
  <si>
    <t># de trabajadores que le comunicaron la política SST en la inducción:</t>
  </si>
  <si>
    <t xml:space="preserve"> # de trabajadores en el año</t>
  </si>
  <si>
    <t>OBJETIVOS DEL SG-SST</t>
  </si>
  <si>
    <t>(# de trabajadores con asignación de responsabilidades en SST/ # de trabajadores en el año)  X 100%</t>
  </si>
  <si>
    <t># de trabajadores con asignación de responsabilidades en SST</t>
  </si>
  <si>
    <t>Asignación de responsabilidades en SST a todos los trabajadores</t>
  </si>
  <si>
    <t>Compromiso de la alta dirección en la asignación de recursos según numeral 2.2.4.6.8 numeral 4 Decreto 1072</t>
  </si>
  <si>
    <t>Presupuesto anual del SG-SST</t>
  </si>
  <si>
    <t>Mide el diseño del plan anual de trabajo con su cronograma de actividades</t>
  </si>
  <si>
    <t>La  organización adoptó una  metodología para la IPEVR (si o no)</t>
  </si>
  <si>
    <t>Adopción de una metadología para realizar la identificación de peligros, evaluación y valoración de riesgos (IPEVR)</t>
  </si>
  <si>
    <t>Procedimiento para la IPEVR</t>
  </si>
  <si>
    <t>Midel el funcionamiento del COPASST/Vigía</t>
  </si>
  <si>
    <t>Acta de conformación COPASST o asignación Vigía                                 Actas de reuniones e informes</t>
  </si>
  <si>
    <t>DIAGNÓSTICO DE CONDICIONES DE SALUD</t>
  </si>
  <si>
    <t>Recibimiento del diagnóstico de condiciones de salud por parte de una persona jurídica o natural autorizada</t>
  </si>
  <si>
    <t xml:space="preserve">Diagnóstico de condiciones de salud </t>
  </si>
  <si>
    <t>Establecimiento de los objetivos con base a la politica SST,al resultado de la autoevaluación y auditoría</t>
  </si>
  <si>
    <t xml:space="preserve">La empresa recibió el diagnóstico de condiciones de salud emitida por una persona jurídica o natural autirizada             (si o no) </t>
  </si>
  <si>
    <t>La empresa conformó el COPASST y/o asignó un Vigía  y cumplen sus respectivas funciones (si o no)</t>
  </si>
  <si>
    <t>La empresa elaboró el presupuesto anual del SG-SST  (si o no)</t>
  </si>
  <si>
    <t>Mide el diseño del plan de prevención, preparación y respuesta ante emergencias (PPPRAE) con base al artículo 2.2.4.6.25</t>
  </si>
  <si>
    <t>Se diseñó el PPPRAE con base al artículo 2.2.4.6.25  (si o no)</t>
  </si>
  <si>
    <t>Mide el diseño del plan de capacitación anual del SG-SST</t>
  </si>
  <si>
    <t>La empresa diseñó el plan de capacitación anual del SG-SST (si o no)</t>
  </si>
  <si>
    <t>AUTOEVALUACIÓN DEL SG-SST</t>
  </si>
  <si>
    <t># de estándares cumplidos:</t>
  </si>
  <si>
    <t># de estándares exigidos:</t>
  </si>
  <si>
    <t>Plan anual de trabajo del SG-SST</t>
  </si>
  <si>
    <t>(# de actividades mensuales ejecutadas en el plan anual  / # de actividades planificadas en el mes en el plan de trabajo) x 100%</t>
  </si>
  <si>
    <t># de actividades planificadas en el mes:</t>
  </si>
  <si>
    <t># de actividades ejecutadas en el mes:</t>
  </si>
  <si>
    <t>EJECUCION DEL PLAN DE CAPACITACION ANUAL</t>
  </si>
  <si>
    <t xml:space="preserve">Mide el cumplimiento de las capacitaciones de SST realizadas </t>
  </si>
  <si>
    <t>(# de capacitaciones ejecutadas en el mes / # de capacitaciones planificadas en el mes) X 100%</t>
  </si>
  <si>
    <t>Plan de capacitación anual</t>
  </si>
  <si>
    <t># de capacitaciones ejecutadas en el mes:</t>
  </si>
  <si>
    <t># de capacitaciones planificadas en el mes:</t>
  </si>
  <si>
    <t>Matriz IPEVR</t>
  </si>
  <si>
    <t>(# de medidas de intervención implementadas en el año / # medidas de intervención propuestas en la matriz IPEVR) X 100%</t>
  </si>
  <si>
    <t># de medidas de intervención implementadas en el año:</t>
  </si>
  <si>
    <t># medidas de intervención propuestas en la matriz IPEVR:</t>
  </si>
  <si>
    <t>Mide el nivel de salud de los trabajadores por medio de la realización de los exámenes médico ocupacionales</t>
  </si>
  <si>
    <t>Registro evaluaciones médicas pre ocupacionales de los trabajadores</t>
  </si>
  <si>
    <t>Registro evaluaciones médicas ocupacionales de egreso a los trabajadores que terminaron vínculo laboral con la empresa</t>
  </si>
  <si>
    <t>(# de trabajadores desvinculados laboralmente con evaluaciones médicas de egreso / #  total de trabajadores desvinculados laboralmente en el año) X 100%</t>
  </si>
  <si>
    <t xml:space="preserve">Registro evaluaciones médicas ocupacionales periódicas </t>
  </si>
  <si>
    <t># de trabajadores con evaluaciones médicas preocupacionales:</t>
  </si>
  <si>
    <t>(# de trabajadores con evaluaciones médicas preocupacionales / #  total de trabajadores en el año) X 100%</t>
  </si>
  <si>
    <t>#  total de trabajadores en el año:</t>
  </si>
  <si>
    <t># de trabajadores que se le practicaron exámenes ocupacionales periódicos:</t>
  </si>
  <si>
    <t>(# de trabajadores que se le practicaron exámenes ocupacionales periódicos / #  de trabajadores programados para exámenes ocupacionales periódicos en el año) X 100%</t>
  </si>
  <si>
    <t>#  de trabajadores programados para exámenes ocupacionales periódicos en el año:</t>
  </si>
  <si>
    <t># de trabajadores desvinculados laboralmente con evaluaciones médicas de egreso:</t>
  </si>
  <si>
    <t># total de trabajadores desvinculados laboralmente en el año:</t>
  </si>
  <si>
    <t>Matriz IPEVR, inspecciones, investigaciones de AT y EL, reportes de actos y condiciones inseguras, auditorías</t>
  </si>
  <si>
    <t># de acciones correctivas y preventivas propuestas en el año:</t>
  </si>
  <si>
    <t># de acciones correctivas y preventivas realizadas en el año:</t>
  </si>
  <si>
    <t>(# de acciones correctivas y preventivas realizadas en el año / # de acciones correctivas y preventivas propuestas en el año) X 100%</t>
  </si>
  <si>
    <t>Matriz IPEVR                  inspecciones</t>
  </si>
  <si>
    <t>(# de mediciones ambientales ejectuadas / # de mediciones ambientales aplicables planificadas) X 100%</t>
  </si>
  <si>
    <t xml:space="preserve">Mide el grado de mediciones ambientales aplicables ejecutadas a la organización </t>
  </si>
  <si>
    <t># de mediciones ambientales ejectuadas:</t>
  </si>
  <si>
    <t># de mediciones ambientales aplicables planificadas:</t>
  </si>
  <si>
    <t>Mide la intervención de aquellos peligros que generan enfermedades a los trabajadores de la empresa</t>
  </si>
  <si>
    <t>(# PVE ejecutados / # PVE aplicables) X 100%</t>
  </si>
  <si>
    <t>Programas de vigilancia epidemiológicos</t>
  </si>
  <si>
    <t># PVE ejecutados</t>
  </si>
  <si>
    <t># PVE aplicables</t>
  </si>
  <si>
    <t>Reportes de enfermedades laborales  ante la ARL</t>
  </si>
  <si>
    <t xml:space="preserve"> # de incidentes investigados)</t>
  </si>
  <si>
    <t># de enfermedades laborales ocurridos en el año:</t>
  </si>
  <si>
    <t>(# de enfermedades laborales ocurridos en el año / # de enfermedades laborales reportados en el año ante la ARL) X 100%</t>
  </si>
  <si>
    <t># de enfermedades laborales reportados en el año ante la ARL:</t>
  </si>
  <si>
    <t>(#  de enfermedades laborales investigados en el año /  # de enfermedades laborales reportados en el año ante la ARL) X 100%</t>
  </si>
  <si>
    <t>Reportes de enfermedades laborales  ante la ARL               Registro de investigación de las enfermedades laborales</t>
  </si>
  <si>
    <t>Reportes de accidentes de trabajo ante la ARL             Registro de investigación de los accidentes de trabajo</t>
  </si>
  <si>
    <t>(# de accidentes de trabajo investigados / # de accidentes reportados ante la ARL) X 100%</t>
  </si>
  <si>
    <t>(# de accidentes de trabajo ocurridos / # de accidentes reportados ante la ARL) X 100%</t>
  </si>
  <si>
    <t>(# de incidentes de trabajo ocurridos / # de incidentes investigados) X 100%</t>
  </si>
  <si>
    <t>Reportes de accidentes  de trabajo ante la ARL</t>
  </si>
  <si>
    <t xml:space="preserve">Reporte de incidentes            Registro de investigación de los incidentes de trabajo </t>
  </si>
  <si>
    <t># de incidentes  de trabajo ocurridos:</t>
  </si>
  <si>
    <t># de             accidentes  de trabajo ocurridos:</t>
  </si>
  <si>
    <t xml:space="preserve"> # de accidentes de trabajo reportados ante la ARL</t>
  </si>
  <si>
    <t># de             accidentes de trabajo investigados:</t>
  </si>
  <si>
    <t>#  de enfermedades laborales investigados en el año:</t>
  </si>
  <si>
    <t>Mide si la organización registra los incidentes de trabajo, accidentes de trabajo y enfermedades laborales</t>
  </si>
  <si>
    <t>Reportes e investigación de los incidentes de trabajo, accidentes de trabajo y enfermedades laborales</t>
  </si>
  <si>
    <t>La empresa registra, reporta e investiga todos los incidentes de trabajo, accidentes de trabajo y enfermedades laborales (si o no)</t>
  </si>
  <si>
    <t>Mide el grado de implementación del PPPRAE</t>
  </si>
  <si>
    <t>(# de actividades del PPPRAE ejecutadas en el año / # de actividades del PPPRAE planificadas en el año) X 100%</t>
  </si>
  <si>
    <t># de actividades del PPPRAE ejecutadas en el año:</t>
  </si>
  <si>
    <t># de actividades del PPPRAE planificadas en el año</t>
  </si>
  <si>
    <t>Mide si la organización conserva de forma organizada y eficiente los 21 documentos del SG-SST de acuerdo al artículo 2.2.4.6.12 del Decreto 1072/2015 y el artículo 2.2.4.6.13</t>
  </si>
  <si>
    <t># de documentos conservados:</t>
  </si>
  <si>
    <t>(# de documentos conservados/  # de documentos requeridos) X 100%</t>
  </si>
  <si>
    <t># de documentos requeridos</t>
  </si>
  <si>
    <t>La empresa diseñó el plan de capacitación anual del SG-SST             (si o no)</t>
  </si>
  <si>
    <t>La empresa elaboró el plan de trabajo anual del SG-SST (si o no)</t>
  </si>
  <si>
    <t>Plan de trabajo anual del SG-SST</t>
  </si>
  <si>
    <t xml:space="preserve">Se establecieron los objetivos del  SG-SST (si o no) </t>
  </si>
  <si>
    <t xml:space="preserve"> #  de requisitos identificados en la matriz legal</t>
  </si>
  <si>
    <t xml:space="preserve">(# de objetivos del SG-SST cumplidos / # de objetivos del SG-SST estalecidos) X 100%
</t>
  </si>
  <si>
    <t># de objetivos del SG-SST cumplidos</t>
  </si>
  <si>
    <t># de requisitos legales cumplidos</t>
  </si>
  <si>
    <t># de objetivos del SG-SST estalecidos</t>
  </si>
  <si>
    <t>(# de trabajadores que le socializaron los objetivos del SG-SST en la capacitación de inducción / # de trabajadores en el año) X 100%</t>
  </si>
  <si>
    <t># de trabajadores que le socializaron los objetivos del SG-SST en la capacitación de inducción:</t>
  </si>
  <si>
    <t># de trabajadores en el año</t>
  </si>
  <si>
    <t>Mide el cumplimento de las actividades planificadas en el plan de trabajo anual del SG-SST</t>
  </si>
  <si>
    <t>Plan de Trabajo anual del SG-SST</t>
  </si>
  <si>
    <t># de acciones preventivas y correctivas implementadas eficientemente:</t>
  </si>
  <si>
    <t># de acciones preventivas y correctivas registradas:</t>
  </si>
  <si>
    <t># de actividades planificadas en los PVE:</t>
  </si>
  <si>
    <t># de actividades ejecutadas en los PVE:</t>
  </si>
  <si>
    <t>(# de trabajadores rehabilitados correctamente / # de trabajadores incluidos en el programa de rehabilitación) X 100%</t>
  </si>
  <si>
    <t># de trabajadores rehabilitados correctamente:</t>
  </si>
  <si>
    <t># de trabajadores incluidos en el programa de rehabilitación:</t>
  </si>
  <si>
    <t>Registro de indicadores de la resolución 0312/2019</t>
  </si>
  <si>
    <t>Se realiza el análisis de los indicadores conforme a la resolución 0312/2019              (si o no)</t>
  </si>
  <si>
    <t>Mide el análiisis realizado a las medidas de intervención implementadas para la organización</t>
  </si>
  <si>
    <t xml:space="preserve">Se realiza el análisis a las medidas de intervención implementadas para controlar los peligros y riesgos priorizados (si o no) </t>
  </si>
  <si>
    <t>Se realiza el análisis de los indicadores conforme a la resolución 0312/2019                                                  (si o no)</t>
  </si>
  <si>
    <t>Se cumplió con las mediciones ambientales programadas, se analizaron los resultados y se generaron las medidas de intervención adecuadas                    (si o no)</t>
  </si>
  <si>
    <t xml:space="preserve">Informe de mediciones ambientales                                                </t>
  </si>
  <si>
    <t>INDICADORES DE  ESTRUCTURA 2022</t>
  </si>
  <si>
    <t>INDICADORES DE  PROCESO 2022</t>
  </si>
  <si>
    <t>INDICADORES DE  RESULTADO 2022</t>
  </si>
  <si>
    <t>FICHA  DE INDICADORES DECRETO 1072/2015</t>
  </si>
  <si>
    <t>FICHA DE INDICADORES RESOLUCIÓN 0312/2019</t>
  </si>
  <si>
    <t>AÑO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</si>
</sst>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22"/>
      <color theme="0"/>
      <name val="Calibri"/>
      <family val="2"/>
      <scheme val="minor"/>
    </font>
    <font>
      <b/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6" fillId="4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vertical="top" wrapText="1"/>
    </xf>
    <xf numFmtId="0" fontId="5" fillId="2" borderId="0" xfId="0" applyFont="1" applyFill="1" applyBorder="1" applyAlignment="1">
      <alignment vertical="top" wrapText="1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Border="1"/>
    <xf numFmtId="0" fontId="10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0" fillId="0" borderId="0" xfId="0" applyBorder="1"/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9" fontId="9" fillId="0" borderId="1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0" fillId="0" borderId="0" xfId="0" applyNumberFormat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5" fillId="0" borderId="0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7" borderId="1" xfId="0" applyNumberForma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0" fontId="0" fillId="7" borderId="2" xfId="0" applyNumberFormat="1" applyFill="1" applyBorder="1" applyAlignment="1">
      <alignment horizontal="center" vertical="center"/>
    </xf>
    <xf numFmtId="10" fontId="0" fillId="7" borderId="3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2" borderId="3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/>
    </xf>
    <xf numFmtId="0" fontId="13" fillId="4" borderId="10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0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6" fillId="11" borderId="0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9" fillId="2" borderId="2" xfId="3" applyNumberFormat="1" applyFont="1" applyFill="1" applyBorder="1" applyAlignment="1">
      <alignment horizontal="center" vertical="center"/>
    </xf>
    <xf numFmtId="0" fontId="9" fillId="2" borderId="5" xfId="3" applyNumberFormat="1" applyFont="1" applyFill="1" applyBorder="1" applyAlignment="1">
      <alignment horizontal="center" vertical="center"/>
    </xf>
    <xf numFmtId="0" fontId="9" fillId="2" borderId="3" xfId="3" applyNumberFormat="1" applyFont="1" applyFill="1" applyBorder="1" applyAlignment="1">
      <alignment horizontal="center" vertical="center"/>
    </xf>
    <xf numFmtId="0" fontId="9" fillId="2" borderId="2" xfId="3" applyNumberFormat="1" applyFont="1" applyFill="1" applyBorder="1" applyAlignment="1">
      <alignment horizontal="left" vertical="center" wrapText="1"/>
    </xf>
    <xf numFmtId="0" fontId="9" fillId="2" borderId="5" xfId="3" applyNumberFormat="1" applyFont="1" applyFill="1" applyBorder="1" applyAlignment="1">
      <alignment horizontal="left" vertical="center" wrapText="1"/>
    </xf>
    <xf numFmtId="0" fontId="9" fillId="2" borderId="3" xfId="3" applyNumberFormat="1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center" vertical="center" wrapText="1"/>
    </xf>
    <xf numFmtId="0" fontId="2" fillId="0" borderId="5" xfId="1" applyNumberFormat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9" fillId="2" borderId="1" xfId="3" applyNumberFormat="1" applyFont="1" applyFill="1" applyBorder="1" applyAlignment="1">
      <alignment horizontal="center" vertical="center"/>
    </xf>
    <xf numFmtId="0" fontId="9" fillId="2" borderId="1" xfId="3" applyNumberFormat="1" applyFont="1" applyFill="1" applyBorder="1" applyAlignment="1">
      <alignment horizontal="left" vertical="center" wrapText="1"/>
    </xf>
    <xf numFmtId="10" fontId="9" fillId="2" borderId="1" xfId="3" applyNumberFormat="1" applyFont="1" applyFill="1" applyBorder="1" applyAlignment="1">
      <alignment horizontal="center" vertical="center"/>
    </xf>
    <xf numFmtId="0" fontId="9" fillId="6" borderId="1" xfId="3" applyNumberFormat="1" applyFont="1" applyFill="1" applyBorder="1" applyAlignment="1">
      <alignment horizontal="center" vertical="center"/>
    </xf>
    <xf numFmtId="0" fontId="9" fillId="6" borderId="1" xfId="3" applyNumberFormat="1" applyFont="1" applyFill="1" applyBorder="1" applyAlignment="1">
      <alignment horizontal="center" vertical="top" wrapText="1"/>
    </xf>
    <xf numFmtId="2" fontId="9" fillId="6" borderId="1" xfId="3" applyNumberFormat="1" applyFont="1" applyFill="1" applyBorder="1" applyAlignment="1">
      <alignment horizontal="center" vertical="center"/>
    </xf>
    <xf numFmtId="0" fontId="9" fillId="6" borderId="1" xfId="3" applyNumberFormat="1" applyFont="1" applyFill="1" applyBorder="1" applyAlignment="1">
      <alignment horizontal="left" vertical="center" wrapText="1"/>
    </xf>
    <xf numFmtId="2" fontId="9" fillId="2" borderId="1" xfId="3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</cellXfs>
  <cellStyles count="4">
    <cellStyle name="Millares" xfId="3" builtinId="3"/>
    <cellStyle name="Millares [0]" xfId="1" builtinId="6"/>
    <cellStyle name="Normal" xfId="0" builtinId="0"/>
    <cellStyle name="Normal 2" xfId="2"/>
  </cellStyles>
  <dxfs count="40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 b="1"/>
              <a:t>FRECUENCIA DE ACCIDENTALIDAD - 2020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ACCIDENTES EN EL MES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('RESOLUCIÓN 0312-2019'!$K$4,'RESOLUCIÓN 0312-2019'!$P$4,'RESOLUCIÓN 0312-2019'!$U$4,'RESOLUCIÓN 0312-2019'!$Z$4,'RESOLUCIÓN 0312-2019'!$AE$4,'RESOLUCIÓN 0312-2019'!$AJ$4,'RESOLUCIÓN 0312-2019'!$AO$4,'RESOLUCIÓN 0312-2019'!$AT$4,'RESOLUCIÓN 0312-2019'!$AY$4,'RESOLUCIÓN 0312-2019'!$BD$4,'RESOLUCIÓN 0312-2019'!$BI$4,'RESOLUCIÓN 0312-2019'!$BN$4)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('RESOLUCIÓN 0312-2019'!$J$5,'RESOLUCIÓN 0312-2019'!$O$5,'RESOLUCIÓN 0312-2019'!$T$5,'RESOLUCIÓN 0312-2019'!$Y$5,'RESOLUCIÓN 0312-2019'!$AD$5,'RESOLUCIÓN 0312-2019'!$AI$5,'RESOLUCIÓN 0312-2019'!$AN$5,'RESOLUCIÓN 0312-2019'!$AS$5,'RESOLUCIÓN 0312-2019'!$AX$5,'RESOLUCIÓN 0312-2019'!$BC$5,'RESOLUCIÓN 0312-2019'!$BH$5,'RESOLUCIÓN 0312-2019'!$BM$5)</c:f>
              <c:numCache>
                <c:formatCode>General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4</c:v>
                </c:pt>
                <c:pt idx="8">
                  <c:v>4</c:v>
                </c:pt>
                <c:pt idx="9">
                  <c:v>0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</c:ser>
        <c:ser>
          <c:idx val="1"/>
          <c:order val="1"/>
          <c:tx>
            <c:v>TRABAJADORES EN EL MES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('RESOLUCIÓN 0312-2019'!$J$6,'RESOLUCIÓN 0312-2019'!$O$6,'RESOLUCIÓN 0312-2019'!$T$6,'RESOLUCIÓN 0312-2019'!$Y$6,'RESOLUCIÓN 0312-2019'!$AD$6,'RESOLUCIÓN 0312-2019'!$AI$6,'RESOLUCIÓN 0312-2019'!$AN$6,'RESOLUCIÓN 0312-2019'!$AS$6,'RESOLUCIÓN 0312-2019'!$AX$6,'RESOLUCIÓN 0312-2019'!$BC$6,'RESOLUCIÓN 0312-2019'!$BH$6,'RESOLUCIÓN 0312-2019'!$BM$6)</c:f>
              <c:numCache>
                <c:formatCode>General</c:formatCode>
                <c:ptCount val="12"/>
                <c:pt idx="0">
                  <c:v>30</c:v>
                </c:pt>
                <c:pt idx="1">
                  <c:v>35</c:v>
                </c:pt>
                <c:pt idx="2">
                  <c:v>30</c:v>
                </c:pt>
                <c:pt idx="3">
                  <c:v>17</c:v>
                </c:pt>
                <c:pt idx="4">
                  <c:v>30</c:v>
                </c:pt>
                <c:pt idx="5">
                  <c:v>30</c:v>
                </c:pt>
                <c:pt idx="6">
                  <c:v>22</c:v>
                </c:pt>
                <c:pt idx="7">
                  <c:v>35</c:v>
                </c:pt>
                <c:pt idx="8">
                  <c:v>30</c:v>
                </c:pt>
                <c:pt idx="9">
                  <c:v>28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9420192"/>
        <c:axId val="329420584"/>
        <c:axId val="0"/>
      </c:bar3DChart>
      <c:catAx>
        <c:axId val="32942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420584"/>
        <c:crosses val="autoZero"/>
        <c:auto val="1"/>
        <c:lblAlgn val="ctr"/>
        <c:lblOffset val="100"/>
        <c:noMultiLvlLbl val="0"/>
      </c:catAx>
      <c:valAx>
        <c:axId val="32942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420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INCIDENCIA DE LA ENFERMEDAD LABORAL EN EL AÑO - 2020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CASOS NUEVOS DE ENFERMEDAD LABORAL EN EL AÑO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"/>
              <c:pt idx="0">
                <c:v>INDICADOR</c:v>
              </c:pt>
            </c:strLit>
          </c:cat>
          <c:val>
            <c:numRef>
              <c:f>'RESOLUCIÓN 0312-2019'!$BM$62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1"/>
          <c:order val="1"/>
          <c:tx>
            <c:v>TRABAJADORES PROMEDIO EN EL AÑO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"/>
              <c:pt idx="0">
                <c:v>INDICADOR</c:v>
              </c:pt>
            </c:strLit>
          </c:cat>
          <c:val>
            <c:numRef>
              <c:f>'RESOLUCIÓN 0312-2019'!$BM$63</c:f>
              <c:numCache>
                <c:formatCode>General</c:formatCode>
                <c:ptCount val="1"/>
                <c:pt idx="0">
                  <c:v>38.83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9423720"/>
        <c:axId val="330252360"/>
        <c:axId val="0"/>
      </c:bar3DChart>
      <c:catAx>
        <c:axId val="329423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0252360"/>
        <c:crosses val="autoZero"/>
        <c:auto val="1"/>
        <c:lblAlgn val="ctr"/>
        <c:lblOffset val="100"/>
        <c:noMultiLvlLbl val="0"/>
      </c:catAx>
      <c:valAx>
        <c:axId val="33025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94237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PREVALENCIA</a:t>
            </a:r>
            <a:r>
              <a:rPr lang="es-CO" b="1" baseline="0"/>
              <a:t> DE LA ENFERMEDAD LABORAL EN EL AÑO </a:t>
            </a:r>
            <a:r>
              <a:rPr lang="es-CO" b="1"/>
              <a:t>- 2020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CASOS NUEVOS Y ANTIGUOS DE ENFERMEDAD LABORAL EN EL AÑO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"/>
              <c:pt idx="0">
                <c:v>INDICADOR</c:v>
              </c:pt>
            </c:strLit>
          </c:cat>
          <c:val>
            <c:numRef>
              <c:f>'RESOLUCIÓN 0312-2019'!$BM$90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1"/>
          <c:order val="1"/>
          <c:tx>
            <c:v>TRABAJADORES PROMEDIO EN EL AÑO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"/>
              <c:pt idx="0">
                <c:v>INDICADOR</c:v>
              </c:pt>
            </c:strLit>
          </c:cat>
          <c:val>
            <c:numRef>
              <c:f>'RESOLUCIÓN 0312-2019'!$BM$91</c:f>
              <c:numCache>
                <c:formatCode>General</c:formatCode>
                <c:ptCount val="1"/>
                <c:pt idx="0">
                  <c:v>38.83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6537784"/>
        <c:axId val="366542880"/>
        <c:axId val="0"/>
      </c:bar3DChart>
      <c:catAx>
        <c:axId val="36653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6542880"/>
        <c:crosses val="autoZero"/>
        <c:auto val="1"/>
        <c:lblAlgn val="ctr"/>
        <c:lblOffset val="100"/>
        <c:noMultiLvlLbl val="0"/>
      </c:catAx>
      <c:valAx>
        <c:axId val="3665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65377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 b="1"/>
              <a:t>PROPORCIÓN DE ACCIDENTES MORTALES EN EL AÑO - 2020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ACCIDENTES MORTALES EN EL AÑO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"/>
              <c:pt idx="0">
                <c:v>INDICADOR</c:v>
              </c:pt>
            </c:strLit>
          </c:cat>
          <c:val>
            <c:numRef>
              <c:f>'RESOLUCIÓN 0312-2019'!$BM$33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1"/>
          <c:order val="1"/>
          <c:tx>
            <c:v>NÚMERO DE ACCIDENTES EN EL AÑO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"/>
              <c:pt idx="0">
                <c:v>INDICADOR</c:v>
              </c:pt>
            </c:strLit>
          </c:cat>
          <c:val>
            <c:numRef>
              <c:f>'RESOLUCIÓN 0312-2019'!$BM$34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6541704"/>
        <c:axId val="366543664"/>
        <c:axId val="0"/>
      </c:bar3DChart>
      <c:catAx>
        <c:axId val="366541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6543664"/>
        <c:crosses val="autoZero"/>
        <c:auto val="1"/>
        <c:lblAlgn val="ctr"/>
        <c:lblOffset val="100"/>
        <c:noMultiLvlLbl val="0"/>
      </c:catAx>
      <c:valAx>
        <c:axId val="3665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6541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AUSENTISMO POR CAUSA MÉDICA - 2020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NÚMERO DE DÍAS DE AUSENCIA POR AT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('RESOLUCIÓN 0312-2019'!$K$118,'RESOLUCIÓN 0312-2019'!$P$118,'RESOLUCIÓN 0312-2019'!$U$118,'RESOLUCIÓN 0312-2019'!$Z$118,'RESOLUCIÓN 0312-2019'!$AE$118,'RESOLUCIÓN 0312-2019'!$AJ$118,'RESOLUCIÓN 0312-2019'!$AO$118,'RESOLUCIÓN 0312-2019'!$AT$118,'RESOLUCIÓN 0312-2019'!$AY$118,'RESOLUCIÓN 0312-2019'!$BD$118,'RESOLUCIÓN 0312-2019'!$BI$118,'RESOLUCIÓN 0312-2019'!$BN$118)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('RESOLUCIÓN 0312-2019'!$J$119,'RESOLUCIÓN 0312-2019'!$O$119,'RESOLUCIÓN 0312-2019'!$T$119,'RESOLUCIÓN 0312-2019'!$Y$119,'RESOLUCIÓN 0312-2019'!$AD$119,'RESOLUCIÓN 0312-2019'!$AI$119,'RESOLUCIÓN 0312-2019'!$AN$119,'RESOLUCIÓN 0312-2019'!$AS$119,'RESOLUCIÓN 0312-2019'!$AX$119,'RESOLUCIÓN 0312-2019'!$BC$119,'RESOLUCIÓN 0312-2019'!$BH$119,'RESOLUCIÓN 0312-2019'!$BM$119)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10</c:v>
                </c:pt>
              </c:numCache>
            </c:numRef>
          </c:val>
        </c:ser>
        <c:ser>
          <c:idx val="1"/>
          <c:order val="1"/>
          <c:tx>
            <c:v>NÚMERO DE DÍAS DE AUSENCIA POR EL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('RESOLUCIÓN 0312-2019'!$J$120,'RESOLUCIÓN 0312-2019'!$O$120,'RESOLUCIÓN 0312-2019'!$T$120,'RESOLUCIÓN 0312-2019'!$Y$120,'RESOLUCIÓN 0312-2019'!$AD$120,'RESOLUCIÓN 0312-2019'!$AI$120,'RESOLUCIÓN 0312-2019'!$AN$120,'RESOLUCIÓN 0312-2019'!$AS$120,'RESOLUCIÓN 0312-2019'!$AX$120,'RESOLUCIÓN 0312-2019'!$BC$120,'RESOLUCIÓN 0312-2019'!$BH$120,'RESOLUCIÓN 0312-2019'!$BM$120)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15</c:v>
                </c:pt>
                <c:pt idx="11">
                  <c:v>30</c:v>
                </c:pt>
              </c:numCache>
            </c:numRef>
          </c:val>
        </c:ser>
        <c:ser>
          <c:idx val="2"/>
          <c:order val="2"/>
          <c:tx>
            <c:v>NÚMERO DE DÍAS DE AUSENCIA POR AC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('RESOLUCIÓN 0312-2019'!$J$121,'RESOLUCIÓN 0312-2019'!$O$121,'RESOLUCIÓN 0312-2019'!$T$121,'RESOLUCIÓN 0312-2019'!$Y$121,'RESOLUCIÓN 0312-2019'!$AD$121,'RESOLUCIÓN 0312-2019'!$AI$121,'RESOLUCIÓN 0312-2019'!$AN$121,'RESOLUCIÓN 0312-2019'!$AS$121,'RESOLUCIÓN 0312-2019'!$AX$121,'RESOLUCIÓN 0312-2019'!$BC$121,'RESOLUCIÓN 0312-2019'!$BH$121,'RESOLUCIÓN 0312-2019'!$BM$121)</c:f>
              <c:numCache>
                <c:formatCode>General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</c:ser>
        <c:ser>
          <c:idx val="3"/>
          <c:order val="3"/>
          <c:tx>
            <c:v>NÚMERO DE DÍAS DE AUSENCIA POR EC</c:v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('RESOLUCIÓN 0312-2019'!$J$122,'RESOLUCIÓN 0312-2019'!$O$122,'RESOLUCIÓN 0312-2019'!$T$122,'RESOLUCIÓN 0312-2019'!$Y$122,'RESOLUCIÓN 0312-2019'!$AD$122,'RESOLUCIÓN 0312-2019'!$AI$122,'RESOLUCIÓN 0312-2019'!$AN$122,'RESOLUCIÓN 0312-2019'!$AS$122,'RESOLUCIÓN 0312-2019'!$AX$122,'RESOLUCIÓN 0312-2019'!$BC$122,'RESOLUCIÓN 0312-2019'!$BH$122,'RESOLUCIÓN 0312-2019'!$BM$122)</c:f>
              <c:numCache>
                <c:formatCode>General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</c:ser>
        <c:ser>
          <c:idx val="4"/>
          <c:order val="4"/>
          <c:tx>
            <c:v>NÚMERO DE TRABAJADORES EN EL MES</c:v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('RESOLUCIÓN 0312-2019'!$J$124,'RESOLUCIÓN 0312-2019'!$O$124,'RESOLUCIÓN 0312-2019'!$T$124,'RESOLUCIÓN 0312-2019'!$Y$124,'RESOLUCIÓN 0312-2019'!$AD$124,'RESOLUCIÓN 0312-2019'!$AI$124,'RESOLUCIÓN 0312-2019'!$AN$124,'RESOLUCIÓN 0312-2019'!$AS$124,'RESOLUCIÓN 0312-2019'!$AX$124,'RESOLUCIÓN 0312-2019'!$BC$124,'RESOLUCIÓN 0312-2019'!$BH$124,'RESOLUCIÓN 0312-2019'!$BM$124)</c:f>
              <c:numCache>
                <c:formatCode>General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30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30</c:v>
                </c:pt>
                <c:pt idx="11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6538568"/>
        <c:axId val="366544840"/>
        <c:axId val="0"/>
      </c:bar3DChart>
      <c:catAx>
        <c:axId val="36653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6544840"/>
        <c:crosses val="autoZero"/>
        <c:auto val="1"/>
        <c:lblAlgn val="ctr"/>
        <c:lblOffset val="100"/>
        <c:noMultiLvlLbl val="0"/>
      </c:catAx>
      <c:valAx>
        <c:axId val="36654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65385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SEVERIDAD DE ACCIDENTALIDAD - DÍAS PERDIDOS POR AT POR</a:t>
            </a:r>
            <a:r>
              <a:rPr lang="es-CO" b="1" baseline="0"/>
              <a:t> INCAPACIDAD TEMPORAL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NÚMERO DE DÍAS DE INCAPACIDAD POR AT EN EL MES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('RESOLUCIÓN 0312-2019'!$K$155,'RESOLUCIÓN 0312-2019'!$P$155,'RESOLUCIÓN 0312-2019'!$U$155,'RESOLUCIÓN 0312-2019'!$Z$155,'RESOLUCIÓN 0312-2019'!$AE$155,'RESOLUCIÓN 0312-2019'!$AJ$155,'RESOLUCIÓN 0312-2019'!$AO$155,'RESOLUCIÓN 0312-2019'!$AT$155,'RESOLUCIÓN 0312-2019'!$AY$155,'RESOLUCIÓN 0312-2019'!$BD$155,'RESOLUCIÓN 0312-2019'!$BI$155,'RESOLUCIÓN 0312-2019'!$BN$155)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('RESOLUCIÓN 0312-2019'!$J$156,'RESOLUCIÓN 0312-2019'!$O$156,'RESOLUCIÓN 0312-2019'!$T$156,'RESOLUCIÓN 0312-2019'!$Y$156,'RESOLUCIÓN 0312-2019'!$AD$156,'RESOLUCIÓN 0312-2019'!$AI$156,'RESOLUCIÓN 0312-2019'!$AN$156,'RESOLUCIÓN 0312-2019'!$AS$156,'RESOLUCIÓN 0312-2019'!$AX$156,'RESOLUCIÓN 0312-2019'!$BC$156,'RESOLUCIÓN 0312-2019'!$BH$156,'RESOLUCIÓN 0312-2019'!$BM$156)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4</c:v>
                </c:pt>
                <c:pt idx="9">
                  <c:v>1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v>NÚMERO DE TRABAJADORES EN EL MES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('RESOLUCIÓN 0312-2019'!$K$155,'RESOLUCIÓN 0312-2019'!$P$155,'RESOLUCIÓN 0312-2019'!$U$155,'RESOLUCIÓN 0312-2019'!$Z$155,'RESOLUCIÓN 0312-2019'!$AE$155,'RESOLUCIÓN 0312-2019'!$AJ$155,'RESOLUCIÓN 0312-2019'!$AO$155,'RESOLUCIÓN 0312-2019'!$AT$155,'RESOLUCIÓN 0312-2019'!$AY$155,'RESOLUCIÓN 0312-2019'!$BD$155,'RESOLUCIÓN 0312-2019'!$BI$155,'RESOLUCIÓN 0312-2019'!$BN$155)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('RESOLUCIÓN 0312-2019'!$J$157,'RESOLUCIÓN 0312-2019'!$O$157,'RESOLUCIÓN 0312-2019'!$T$157,'RESOLUCIÓN 0312-2019'!$Y$157,'RESOLUCIÓN 0312-2019'!$AD$157,'RESOLUCIÓN 0312-2019'!$AI$157,'RESOLUCIÓN 0312-2019'!$AN$157,'RESOLUCIÓN 0312-2019'!$AS$157,'RESOLUCIÓN 0312-2019'!$AX$157,'RESOLUCIÓN 0312-2019'!$BC$157,'RESOLUCIÓN 0312-2019'!$BH$157,'RESOLUCIÓN 0312-2019'!$BM$157)</c:f>
              <c:numCache>
                <c:formatCode>General</c:formatCode>
                <c:ptCount val="12"/>
                <c:pt idx="0">
                  <c:v>40</c:v>
                </c:pt>
                <c:pt idx="1">
                  <c:v>20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30</c:v>
                </c:pt>
                <c:pt idx="11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6542096"/>
        <c:axId val="366544056"/>
        <c:axId val="0"/>
      </c:bar3DChart>
      <c:catAx>
        <c:axId val="36654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6544056"/>
        <c:crosses val="autoZero"/>
        <c:auto val="1"/>
        <c:lblAlgn val="ctr"/>
        <c:lblOffset val="100"/>
        <c:noMultiLvlLbl val="0"/>
      </c:catAx>
      <c:valAx>
        <c:axId val="36654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6542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SEVERIDAD DE ACCIDENTALIDAD - DÍAS PERDIDOS POR PCL - 2020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NÚMERO DE DÍAS PERDIDOS POR PCL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('RESOLUCIÓN 0312-2019'!$K$183,'RESOLUCIÓN 0312-2019'!$P$183,'RESOLUCIÓN 0312-2019'!$U$183,'RESOLUCIÓN 0312-2019'!$Z$183,'RESOLUCIÓN 0312-2019'!$AE$183,'RESOLUCIÓN 0312-2019'!$AJ$183,'RESOLUCIÓN 0312-2019'!$AO$183,'RESOLUCIÓN 0312-2019'!$AT$183,'RESOLUCIÓN 0312-2019'!$AY$183,'RESOLUCIÓN 0312-2019'!$BD$183,'RESOLUCIÓN 0312-2019'!$BI$183,'RESOLUCIÓN 0312-2019'!$BN$183)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('RESOLUCIÓN 0312-2019'!$K$184,'RESOLUCIÓN 0312-2019'!$P$184,'RESOLUCIÓN 0312-2019'!$U$184,'RESOLUCIÓN 0312-2019'!$Z$184,'RESOLUCIÓN 0312-2019'!$AE$184,'RESOLUCIÓN 0312-2019'!$AJ$184,'RESOLUCIÓN 0312-2019'!$AO$184,'RESOLUCIÓN 0312-2019'!$AT$184,'RESOLUCIÓN 0312-2019'!$AY$184,'RESOLUCIÓN 0312-2019'!$BD$184,'RESOLUCIÓN 0312-2019'!$BI$184,'RESOLUCIÓN 0312-2019'!$BN$184)</c:f>
              <c:numCache>
                <c:formatCode>General</c:formatCode>
                <c:ptCount val="12"/>
                <c:pt idx="0">
                  <c:v>3025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6050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% PCL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('RESOLUCIÓN 0312-2019'!$J$186,'RESOLUCIÓN 0312-2019'!$O$186,'RESOLUCIÓN 0312-2019'!$T$186,'RESOLUCIÓN 0312-2019'!$Y$186,'RESOLUCIÓN 0312-2019'!$AD$186,'RESOLUCIÓN 0312-2019'!$AI$186,'RESOLUCIÓN 0312-2019'!$AN$186,'RESOLUCIÓN 0312-2019'!$AS$186,'RESOLUCIÓN 0312-2019'!$AX$186,'RESOLUCIÓN 0312-2019'!$BC$186,'RESOLUCIÓN 0312-2019'!$BH$186,'RESOLUCIÓN 0312-2019'!$BM$186)</c:f>
              <c:numCache>
                <c:formatCode>0%</c:formatCode>
                <c:ptCount val="12"/>
                <c:pt idx="0">
                  <c:v>0.2</c:v>
                </c:pt>
                <c:pt idx="9">
                  <c:v>0.4</c:v>
                </c:pt>
              </c:numCache>
            </c:numRef>
          </c:val>
        </c:ser>
        <c:ser>
          <c:idx val="2"/>
          <c:order val="2"/>
          <c:tx>
            <c:v>NÚMERO DE TRABAJADORES EN EL MES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('RESOLUCIÓN 0312-2019'!$J$187,'RESOLUCIÓN 0312-2019'!$O$187,'RESOLUCIÓN 0312-2019'!$T$187,'RESOLUCIÓN 0312-2019'!$Y$187,'RESOLUCIÓN 0312-2019'!$AD$187,'RESOLUCIÓN 0312-2019'!$AI$187,'RESOLUCIÓN 0312-2019'!$AN$187,'RESOLUCIÓN 0312-2019'!$AS$187,'RESOLUCIÓN 0312-2019'!$AX$187,'RESOLUCIÓN 0312-2019'!$BC$187,'RESOLUCIÓN 0312-2019'!$BH$187,'RESOLUCIÓN 0312-2019'!$BM$187)</c:f>
              <c:numCache>
                <c:formatCode>General</c:formatCode>
                <c:ptCount val="1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6542488"/>
        <c:axId val="366545232"/>
        <c:axId val="0"/>
      </c:bar3DChart>
      <c:catAx>
        <c:axId val="36654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6545232"/>
        <c:crosses val="autoZero"/>
        <c:auto val="1"/>
        <c:lblAlgn val="ctr"/>
        <c:lblOffset val="100"/>
        <c:noMultiLvlLbl val="0"/>
      </c:catAx>
      <c:valAx>
        <c:axId val="36654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6542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SEVERIDAD DE ACCIDENTALIDAD - DÍAS PERDIDOS POR MUERTE DE TRABAJADOR - 2020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DÍAS PERDIDOS POR MUERTE DE TRABAJADOR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('RESOLUCIÓN 0312-2019'!$K$216,'RESOLUCIÓN 0312-2019'!$P$216,'RESOLUCIÓN 0312-2019'!$U$216,'RESOLUCIÓN 0312-2019'!$Z$216,'RESOLUCIÓN 0312-2019'!$AE$216,'RESOLUCIÓN 0312-2019'!$AJ$216,'RESOLUCIÓN 0312-2019'!$AO$216,'RESOLUCIÓN 0312-2019'!$AT$216,'RESOLUCIÓN 0312-2019'!$AY$216,'RESOLUCIÓN 0312-2019'!$BD$216,'RESOLUCIÓN 0312-2019'!$BI$216,'RESOLUCIÓN 0312-2019'!$BN$216)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('RESOLUCIÓN 0312-2019'!$K$217,'RESOLUCIÓN 0312-2019'!$P$217,'RESOLUCIÓN 0312-2019'!$U$217,'RESOLUCIÓN 0312-2019'!$Z$217,'RESOLUCIÓN 0312-2019'!$AE$217,'RESOLUCIÓN 0312-2019'!$AJ$217,'RESOLUCIÓN 0312-2019'!$AO$217,'RESOLUCIÓN 0312-2019'!$AT$217,'RESOLUCIÓN 0312-2019'!$AY$217,'RESOLUCIÓN 0312-2019'!$BD$217,'RESOLUCIÓN 0312-2019'!$BI$217,'RESOLUCIÓN 0312-2019'!$BN$217)</c:f>
              <c:numCache>
                <c:formatCode>General</c:formatCode>
                <c:ptCount val="12"/>
                <c:pt idx="0">
                  <c:v>15025</c:v>
                </c:pt>
                <c:pt idx="1">
                  <c:v>15025</c:v>
                </c:pt>
                <c:pt idx="2">
                  <c:v>0</c:v>
                </c:pt>
                <c:pt idx="3">
                  <c:v>15125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15050</c:v>
                </c:pt>
              </c:numCache>
            </c:numRef>
          </c:val>
        </c:ser>
        <c:ser>
          <c:idx val="1"/>
          <c:order val="1"/>
          <c:tx>
            <c:v>NÚMERO DE TRABAJADORES EN EL MES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('RESOLUCIÓN 0312-2019'!$J$219,'RESOLUCIÓN 0312-2019'!$O$219,'RESOLUCIÓN 0312-2019'!$T$219,'RESOLUCIÓN 0312-2019'!$Y$219,'RESOLUCIÓN 0312-2019'!$AD$219,'RESOLUCIÓN 0312-2019'!$AI$219,'RESOLUCIÓN 0312-2019'!$AN$219,'RESOLUCIÓN 0312-2019'!$AS$219,'RESOLUCIÓN 0312-2019'!$AX$219,'RESOLUCIÓN 0312-2019'!$BC$219,'RESOLUCIÓN 0312-2019'!$BH$219,'RESOLUCIÓN 0312-2019'!$BM$219)</c:f>
              <c:numCache>
                <c:formatCode>General</c:formatCode>
                <c:ptCount val="1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8994168"/>
        <c:axId val="368994560"/>
        <c:axId val="0"/>
      </c:bar3DChart>
      <c:catAx>
        <c:axId val="36899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8994560"/>
        <c:crosses val="autoZero"/>
        <c:auto val="1"/>
        <c:lblAlgn val="ctr"/>
        <c:lblOffset val="100"/>
        <c:noMultiLvlLbl val="0"/>
      </c:catAx>
      <c:valAx>
        <c:axId val="36899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8994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40535</xdr:rowOff>
    </xdr:from>
    <xdr:to>
      <xdr:col>7</xdr:col>
      <xdr:colOff>1341550</xdr:colOff>
      <xdr:row>25</xdr:row>
      <xdr:rowOff>143983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6644</xdr:colOff>
      <xdr:row>63</xdr:row>
      <xdr:rowOff>118064</xdr:rowOff>
    </xdr:from>
    <xdr:to>
      <xdr:col>7</xdr:col>
      <xdr:colOff>1301303</xdr:colOff>
      <xdr:row>83</xdr:row>
      <xdr:rowOff>467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6644</xdr:colOff>
      <xdr:row>91</xdr:row>
      <xdr:rowOff>118064</xdr:rowOff>
    </xdr:from>
    <xdr:to>
      <xdr:col>7</xdr:col>
      <xdr:colOff>1341550</xdr:colOff>
      <xdr:row>111</xdr:row>
      <xdr:rowOff>467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7</xdr:col>
      <xdr:colOff>1354964</xdr:colOff>
      <xdr:row>55</xdr:row>
      <xdr:rowOff>103447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124</xdr:row>
      <xdr:rowOff>41587</xdr:rowOff>
    </xdr:from>
    <xdr:to>
      <xdr:col>7</xdr:col>
      <xdr:colOff>1341550</xdr:colOff>
      <xdr:row>149</xdr:row>
      <xdr:rowOff>93908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157</xdr:row>
      <xdr:rowOff>30317</xdr:rowOff>
    </xdr:from>
    <xdr:to>
      <xdr:col>9</xdr:col>
      <xdr:colOff>13415</xdr:colOff>
      <xdr:row>177</xdr:row>
      <xdr:rowOff>40246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187</xdr:row>
      <xdr:rowOff>43732</xdr:rowOff>
    </xdr:from>
    <xdr:to>
      <xdr:col>8</xdr:col>
      <xdr:colOff>26831</xdr:colOff>
      <xdr:row>209</xdr:row>
      <xdr:rowOff>187815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219</xdr:row>
      <xdr:rowOff>43734</xdr:rowOff>
    </xdr:from>
    <xdr:to>
      <xdr:col>7</xdr:col>
      <xdr:colOff>1341550</xdr:colOff>
      <xdr:row>237</xdr:row>
      <xdr:rowOff>53662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0"/>
  <sheetViews>
    <sheetView tabSelected="1" topLeftCell="E4" zoomScale="112" zoomScaleNormal="112" workbookViewId="0">
      <selection activeCell="BD5" sqref="I5:BD6"/>
    </sheetView>
  </sheetViews>
  <sheetFormatPr baseColWidth="10" defaultRowHeight="14.5" x14ac:dyDescent="0.35"/>
  <cols>
    <col min="1" max="1" width="25.54296875" customWidth="1"/>
    <col min="2" max="2" width="24.7265625" customWidth="1"/>
    <col min="3" max="3" width="17.453125" style="7" customWidth="1"/>
    <col min="4" max="4" width="27.1796875" style="37" customWidth="1"/>
    <col min="5" max="5" width="18.54296875" style="37" customWidth="1"/>
    <col min="6" max="6" width="15.453125" style="37" customWidth="1"/>
    <col min="7" max="7" width="16.81640625" style="7" customWidth="1"/>
    <col min="8" max="8" width="20.26953125" style="51" customWidth="1"/>
    <col min="9" max="10" width="12.453125" style="3" customWidth="1"/>
    <col min="11" max="53" width="12.453125" customWidth="1"/>
    <col min="54" max="54" width="12.453125" style="41" customWidth="1"/>
    <col min="55" max="55" width="12.453125" customWidth="1"/>
    <col min="56" max="56" width="12" customWidth="1"/>
  </cols>
  <sheetData>
    <row r="1" spans="1:56" ht="66" customHeight="1" x14ac:dyDescent="0.35">
      <c r="A1" s="63" t="s">
        <v>109</v>
      </c>
      <c r="B1" s="92" t="s">
        <v>307</v>
      </c>
      <c r="C1" s="92"/>
      <c r="D1" s="92"/>
      <c r="E1" s="92"/>
      <c r="F1" s="92"/>
      <c r="G1" s="92"/>
      <c r="H1" s="92"/>
      <c r="I1" s="99" t="s">
        <v>34</v>
      </c>
      <c r="J1" s="99"/>
      <c r="K1" s="44"/>
      <c r="L1" s="44"/>
      <c r="M1" s="44"/>
      <c r="N1" s="44"/>
      <c r="O1" s="44"/>
      <c r="P1" s="44"/>
      <c r="Q1" s="44"/>
      <c r="R1" s="32"/>
      <c r="S1" s="32"/>
      <c r="T1" s="32"/>
    </row>
    <row r="2" spans="1:56" ht="15" customHeight="1" x14ac:dyDescent="0.35">
      <c r="A2" s="93" t="s">
        <v>304</v>
      </c>
      <c r="B2" s="93"/>
      <c r="C2" s="93"/>
      <c r="D2" s="93"/>
      <c r="E2" s="93"/>
      <c r="F2" s="93"/>
      <c r="G2" s="93"/>
      <c r="H2" s="93"/>
      <c r="I2" s="111" t="s">
        <v>33</v>
      </c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</row>
    <row r="3" spans="1:56" ht="15.75" customHeight="1" x14ac:dyDescent="0.35">
      <c r="A3" s="94"/>
      <c r="B3" s="94"/>
      <c r="C3" s="94"/>
      <c r="D3" s="94"/>
      <c r="E3" s="94"/>
      <c r="F3" s="94"/>
      <c r="G3" s="94"/>
      <c r="H3" s="94"/>
      <c r="I3" s="113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</row>
    <row r="4" spans="1:56" ht="21" x14ac:dyDescent="0.3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20</v>
      </c>
      <c r="I4" s="97" t="s">
        <v>158</v>
      </c>
      <c r="J4" s="98"/>
      <c r="K4" s="4" t="s">
        <v>159</v>
      </c>
      <c r="L4" s="4" t="s">
        <v>119</v>
      </c>
      <c r="M4" s="95" t="s">
        <v>158</v>
      </c>
      <c r="N4" s="96"/>
      <c r="O4" s="5" t="s">
        <v>161</v>
      </c>
      <c r="P4" s="5" t="s">
        <v>119</v>
      </c>
      <c r="Q4" s="97" t="s">
        <v>158</v>
      </c>
      <c r="R4" s="98"/>
      <c r="S4" s="4" t="s">
        <v>162</v>
      </c>
      <c r="T4" s="4" t="s">
        <v>119</v>
      </c>
      <c r="U4" s="95" t="s">
        <v>158</v>
      </c>
      <c r="V4" s="96"/>
      <c r="W4" s="5" t="s">
        <v>163</v>
      </c>
      <c r="X4" s="5" t="s">
        <v>119</v>
      </c>
      <c r="Y4" s="97" t="s">
        <v>158</v>
      </c>
      <c r="Z4" s="98"/>
      <c r="AA4" s="4" t="s">
        <v>164</v>
      </c>
      <c r="AB4" s="4" t="s">
        <v>119</v>
      </c>
      <c r="AC4" s="95" t="s">
        <v>158</v>
      </c>
      <c r="AD4" s="96"/>
      <c r="AE4" s="5" t="s">
        <v>165</v>
      </c>
      <c r="AF4" s="5" t="s">
        <v>119</v>
      </c>
      <c r="AG4" s="97" t="s">
        <v>158</v>
      </c>
      <c r="AH4" s="98"/>
      <c r="AI4" s="4" t="s">
        <v>166</v>
      </c>
      <c r="AJ4" s="4" t="s">
        <v>119</v>
      </c>
      <c r="AK4" s="95" t="s">
        <v>158</v>
      </c>
      <c r="AL4" s="96"/>
      <c r="AM4" s="5" t="s">
        <v>167</v>
      </c>
      <c r="AN4" s="5" t="s">
        <v>119</v>
      </c>
      <c r="AO4" s="97" t="s">
        <v>158</v>
      </c>
      <c r="AP4" s="98"/>
      <c r="AQ4" s="4" t="s">
        <v>168</v>
      </c>
      <c r="AR4" s="4" t="s">
        <v>119</v>
      </c>
      <c r="AS4" s="95" t="s">
        <v>158</v>
      </c>
      <c r="AT4" s="96"/>
      <c r="AU4" s="5" t="s">
        <v>170</v>
      </c>
      <c r="AV4" s="5" t="s">
        <v>119</v>
      </c>
      <c r="AW4" s="97" t="s">
        <v>158</v>
      </c>
      <c r="AX4" s="98"/>
      <c r="AY4" s="4" t="s">
        <v>169</v>
      </c>
      <c r="AZ4" s="4" t="s">
        <v>119</v>
      </c>
      <c r="BA4" s="95" t="s">
        <v>158</v>
      </c>
      <c r="BB4" s="96"/>
      <c r="BC4" s="5" t="s">
        <v>171</v>
      </c>
      <c r="BD4" s="5" t="s">
        <v>119</v>
      </c>
    </row>
    <row r="5" spans="1:56" s="2" customFormat="1" ht="61" customHeight="1" x14ac:dyDescent="0.35">
      <c r="A5" s="100" t="s">
        <v>177</v>
      </c>
      <c r="B5" s="76" t="s">
        <v>53</v>
      </c>
      <c r="C5" s="104">
        <v>1</v>
      </c>
      <c r="D5" s="76" t="s">
        <v>160</v>
      </c>
      <c r="E5" s="76" t="s">
        <v>54</v>
      </c>
      <c r="F5" s="76" t="s">
        <v>7</v>
      </c>
      <c r="G5" s="76" t="s">
        <v>60</v>
      </c>
      <c r="H5" s="76" t="s">
        <v>56</v>
      </c>
      <c r="I5" s="38"/>
      <c r="J5" s="38"/>
      <c r="K5" s="67"/>
      <c r="L5" s="67"/>
      <c r="M5" s="39"/>
      <c r="N5" s="39"/>
      <c r="O5" s="67"/>
      <c r="P5" s="67"/>
      <c r="Q5" s="39"/>
      <c r="R5" s="39"/>
      <c r="S5" s="67"/>
      <c r="T5" s="67"/>
      <c r="U5" s="39"/>
      <c r="V5" s="39"/>
      <c r="W5" s="67"/>
      <c r="X5" s="67"/>
      <c r="Y5" s="39"/>
      <c r="Z5" s="39"/>
      <c r="AA5" s="67"/>
      <c r="AB5" s="67"/>
      <c r="AC5" s="39"/>
      <c r="AD5" s="39"/>
      <c r="AE5" s="67"/>
      <c r="AF5" s="67"/>
      <c r="AG5" s="39"/>
      <c r="AH5" s="39"/>
      <c r="AI5" s="67"/>
      <c r="AJ5" s="67"/>
      <c r="AK5" s="39"/>
      <c r="AL5" s="39"/>
      <c r="AM5" s="67"/>
      <c r="AN5" s="67"/>
      <c r="AO5" s="39"/>
      <c r="AP5" s="39"/>
      <c r="AQ5" s="67"/>
      <c r="AR5" s="67"/>
      <c r="AS5" s="39"/>
      <c r="AT5" s="39"/>
      <c r="AU5" s="67"/>
      <c r="AV5" s="67"/>
      <c r="AW5" s="39"/>
      <c r="AX5" s="39"/>
      <c r="AY5" s="67"/>
      <c r="AZ5" s="67"/>
      <c r="BA5" s="31" t="s">
        <v>172</v>
      </c>
      <c r="BB5" s="42">
        <v>2</v>
      </c>
      <c r="BC5" s="69">
        <f>BB5/BB6*100%</f>
        <v>0.66666666666666663</v>
      </c>
      <c r="BD5" s="71" t="str">
        <f>IF(BC5=100%,"SI CUMPLE","NO CUMPLE")</f>
        <v>NO CUMPLE</v>
      </c>
    </row>
    <row r="6" spans="1:56" ht="61" customHeight="1" x14ac:dyDescent="0.35">
      <c r="A6" s="101"/>
      <c r="B6" s="76"/>
      <c r="C6" s="104"/>
      <c r="D6" s="76"/>
      <c r="E6" s="76"/>
      <c r="F6" s="76"/>
      <c r="G6" s="76"/>
      <c r="H6" s="76"/>
      <c r="I6" s="38"/>
      <c r="J6" s="38"/>
      <c r="K6" s="68"/>
      <c r="L6" s="68"/>
      <c r="M6" s="40"/>
      <c r="N6" s="40"/>
      <c r="O6" s="68"/>
      <c r="P6" s="68"/>
      <c r="Q6" s="40"/>
      <c r="R6" s="40"/>
      <c r="S6" s="68"/>
      <c r="T6" s="68"/>
      <c r="U6" s="40"/>
      <c r="V6" s="40"/>
      <c r="W6" s="68"/>
      <c r="X6" s="68"/>
      <c r="Y6" s="40"/>
      <c r="Z6" s="40"/>
      <c r="AA6" s="68"/>
      <c r="AB6" s="68"/>
      <c r="AC6" s="40"/>
      <c r="AD6" s="40"/>
      <c r="AE6" s="68"/>
      <c r="AF6" s="68"/>
      <c r="AG6" s="40"/>
      <c r="AH6" s="40"/>
      <c r="AI6" s="68"/>
      <c r="AJ6" s="68"/>
      <c r="AK6" s="40"/>
      <c r="AL6" s="40"/>
      <c r="AM6" s="68"/>
      <c r="AN6" s="68"/>
      <c r="AO6" s="40"/>
      <c r="AP6" s="40"/>
      <c r="AQ6" s="68"/>
      <c r="AR6" s="68"/>
      <c r="AS6" s="40"/>
      <c r="AT6" s="40"/>
      <c r="AU6" s="68"/>
      <c r="AV6" s="68"/>
      <c r="AW6" s="40"/>
      <c r="AX6" s="40"/>
      <c r="AY6" s="68"/>
      <c r="AZ6" s="68"/>
      <c r="BA6" s="31" t="s">
        <v>173</v>
      </c>
      <c r="BB6" s="43">
        <v>3</v>
      </c>
      <c r="BC6" s="70"/>
      <c r="BD6" s="72"/>
    </row>
    <row r="7" spans="1:56" ht="61" customHeight="1" x14ac:dyDescent="0.35">
      <c r="A7" s="101"/>
      <c r="B7" s="76" t="s">
        <v>174</v>
      </c>
      <c r="C7" s="103">
        <v>1</v>
      </c>
      <c r="D7" s="74" t="s">
        <v>176</v>
      </c>
      <c r="E7" s="74" t="s">
        <v>175</v>
      </c>
      <c r="F7" s="76" t="s">
        <v>7</v>
      </c>
      <c r="G7" s="76" t="s">
        <v>60</v>
      </c>
      <c r="H7" s="76" t="s">
        <v>56</v>
      </c>
      <c r="I7" s="38"/>
      <c r="J7" s="38"/>
      <c r="K7" s="67"/>
      <c r="L7" s="67"/>
      <c r="M7" s="39"/>
      <c r="N7" s="39"/>
      <c r="O7" s="67"/>
      <c r="P7" s="67"/>
      <c r="Q7" s="39"/>
      <c r="R7" s="39"/>
      <c r="S7" s="67"/>
      <c r="T7" s="67"/>
      <c r="U7" s="39"/>
      <c r="V7" s="39"/>
      <c r="W7" s="67"/>
      <c r="X7" s="67"/>
      <c r="Y7" s="39"/>
      <c r="Z7" s="39"/>
      <c r="AA7" s="67"/>
      <c r="AB7" s="67"/>
      <c r="AC7" s="39"/>
      <c r="AD7" s="39"/>
      <c r="AE7" s="67"/>
      <c r="AF7" s="67"/>
      <c r="AG7" s="39"/>
      <c r="AH7" s="39"/>
      <c r="AI7" s="67"/>
      <c r="AJ7" s="67"/>
      <c r="AK7" s="39"/>
      <c r="AL7" s="39"/>
      <c r="AM7" s="67"/>
      <c r="AN7" s="67"/>
      <c r="AO7" s="39"/>
      <c r="AP7" s="39"/>
      <c r="AQ7" s="67"/>
      <c r="AR7" s="67"/>
      <c r="AS7" s="39"/>
      <c r="AT7" s="39"/>
      <c r="AU7" s="67"/>
      <c r="AV7" s="67"/>
      <c r="AW7" s="39"/>
      <c r="AX7" s="39"/>
      <c r="AY7" s="67"/>
      <c r="AZ7" s="67"/>
      <c r="BA7" s="34" t="s">
        <v>178</v>
      </c>
      <c r="BB7" s="42">
        <v>80</v>
      </c>
      <c r="BC7" s="69">
        <f>BB7/BB8*100%</f>
        <v>1</v>
      </c>
      <c r="BD7" s="71" t="str">
        <f>IF(BC7=100%,"SI CUMPLE","NO CUMPLE")</f>
        <v>SI CUMPLE</v>
      </c>
    </row>
    <row r="8" spans="1:56" ht="61" customHeight="1" x14ac:dyDescent="0.35">
      <c r="A8" s="102"/>
      <c r="B8" s="76"/>
      <c r="C8" s="103"/>
      <c r="D8" s="74"/>
      <c r="E8" s="74"/>
      <c r="F8" s="76"/>
      <c r="G8" s="76"/>
      <c r="H8" s="76"/>
      <c r="I8" s="38"/>
      <c r="J8" s="38"/>
      <c r="K8" s="68"/>
      <c r="L8" s="68"/>
      <c r="M8" s="40"/>
      <c r="N8" s="40"/>
      <c r="O8" s="68"/>
      <c r="P8" s="68"/>
      <c r="Q8" s="40"/>
      <c r="R8" s="40"/>
      <c r="S8" s="68"/>
      <c r="T8" s="68"/>
      <c r="U8" s="40"/>
      <c r="V8" s="40"/>
      <c r="W8" s="68"/>
      <c r="X8" s="68"/>
      <c r="Y8" s="40"/>
      <c r="Z8" s="40"/>
      <c r="AA8" s="68"/>
      <c r="AB8" s="68"/>
      <c r="AC8" s="40"/>
      <c r="AD8" s="40"/>
      <c r="AE8" s="68"/>
      <c r="AF8" s="68"/>
      <c r="AG8" s="40"/>
      <c r="AH8" s="40"/>
      <c r="AI8" s="68"/>
      <c r="AJ8" s="68"/>
      <c r="AK8" s="40"/>
      <c r="AL8" s="40"/>
      <c r="AM8" s="68"/>
      <c r="AN8" s="68"/>
      <c r="AO8" s="40"/>
      <c r="AP8" s="40"/>
      <c r="AQ8" s="68"/>
      <c r="AR8" s="68"/>
      <c r="AS8" s="40"/>
      <c r="AT8" s="40"/>
      <c r="AU8" s="68"/>
      <c r="AV8" s="68"/>
      <c r="AW8" s="40"/>
      <c r="AX8" s="40"/>
      <c r="AY8" s="68"/>
      <c r="AZ8" s="68"/>
      <c r="BA8" s="34" t="s">
        <v>179</v>
      </c>
      <c r="BB8" s="43">
        <v>80</v>
      </c>
      <c r="BC8" s="70"/>
      <c r="BD8" s="72"/>
    </row>
    <row r="9" spans="1:56" ht="61" customHeight="1" x14ac:dyDescent="0.35">
      <c r="A9" s="61" t="s">
        <v>180</v>
      </c>
      <c r="B9" s="34" t="s">
        <v>195</v>
      </c>
      <c r="C9" s="35" t="s">
        <v>106</v>
      </c>
      <c r="D9" s="34" t="s">
        <v>107</v>
      </c>
      <c r="E9" s="34" t="s">
        <v>36</v>
      </c>
      <c r="F9" s="34" t="s">
        <v>7</v>
      </c>
      <c r="G9" s="34" t="s">
        <v>60</v>
      </c>
      <c r="H9" s="34" t="s">
        <v>56</v>
      </c>
      <c r="I9" s="38"/>
      <c r="J9" s="38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78" t="s">
        <v>279</v>
      </c>
      <c r="BB9" s="79"/>
      <c r="BC9" s="13" t="s">
        <v>121</v>
      </c>
      <c r="BD9" s="13" t="str">
        <f>IF(BC9="SI","SI CUMPLE","NO CUMPLE")</f>
        <v>NO CUMPLE</v>
      </c>
    </row>
    <row r="10" spans="1:56" ht="61" customHeight="1" x14ac:dyDescent="0.35">
      <c r="A10" s="62" t="s">
        <v>8</v>
      </c>
      <c r="B10" s="33" t="s">
        <v>186</v>
      </c>
      <c r="C10" s="35" t="s">
        <v>106</v>
      </c>
      <c r="D10" s="33" t="s">
        <v>277</v>
      </c>
      <c r="E10" s="33" t="s">
        <v>278</v>
      </c>
      <c r="F10" s="34" t="s">
        <v>7</v>
      </c>
      <c r="G10" s="33" t="s">
        <v>60</v>
      </c>
      <c r="H10" s="52" t="s">
        <v>56</v>
      </c>
      <c r="I10" s="38"/>
      <c r="J10" s="38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78" t="s">
        <v>277</v>
      </c>
      <c r="BB10" s="79"/>
      <c r="BC10" s="13" t="s">
        <v>106</v>
      </c>
      <c r="BD10" s="13" t="str">
        <f>IF(BC10="SI","SI CUMPLE","NO CUMPLE")</f>
        <v>SI CUMPLE</v>
      </c>
    </row>
    <row r="11" spans="1:56" ht="61" customHeight="1" x14ac:dyDescent="0.35">
      <c r="A11" s="77" t="s">
        <v>9</v>
      </c>
      <c r="B11" s="74" t="s">
        <v>183</v>
      </c>
      <c r="C11" s="75">
        <v>1</v>
      </c>
      <c r="D11" s="74" t="s">
        <v>181</v>
      </c>
      <c r="E11" s="74" t="s">
        <v>55</v>
      </c>
      <c r="F11" s="76" t="s">
        <v>7</v>
      </c>
      <c r="G11" s="74" t="s">
        <v>60</v>
      </c>
      <c r="H11" s="76" t="s">
        <v>56</v>
      </c>
      <c r="I11" s="38"/>
      <c r="J11" s="38"/>
      <c r="K11" s="67"/>
      <c r="L11" s="67"/>
      <c r="M11" s="39"/>
      <c r="N11" s="39"/>
      <c r="O11" s="67"/>
      <c r="P11" s="67"/>
      <c r="Q11" s="39"/>
      <c r="R11" s="39"/>
      <c r="S11" s="67"/>
      <c r="T11" s="67"/>
      <c r="U11" s="39"/>
      <c r="V11" s="39"/>
      <c r="W11" s="67"/>
      <c r="X11" s="67"/>
      <c r="Y11" s="39"/>
      <c r="Z11" s="39"/>
      <c r="AA11" s="67"/>
      <c r="AB11" s="67"/>
      <c r="AC11" s="39"/>
      <c r="AD11" s="39"/>
      <c r="AE11" s="67"/>
      <c r="AF11" s="67"/>
      <c r="AG11" s="39"/>
      <c r="AH11" s="39"/>
      <c r="AI11" s="67"/>
      <c r="AJ11" s="67"/>
      <c r="AK11" s="39"/>
      <c r="AL11" s="39"/>
      <c r="AM11" s="67"/>
      <c r="AN11" s="67"/>
      <c r="AO11" s="39"/>
      <c r="AP11" s="39"/>
      <c r="AQ11" s="67"/>
      <c r="AR11" s="67"/>
      <c r="AS11" s="39"/>
      <c r="AT11" s="39"/>
      <c r="AU11" s="67"/>
      <c r="AV11" s="67"/>
      <c r="AW11" s="39"/>
      <c r="AX11" s="39"/>
      <c r="AY11" s="67"/>
      <c r="AZ11" s="67"/>
      <c r="BA11" s="34" t="s">
        <v>182</v>
      </c>
      <c r="BB11" s="42">
        <v>70</v>
      </c>
      <c r="BC11" s="69">
        <f>BB11/BB12*100%</f>
        <v>0.875</v>
      </c>
      <c r="BD11" s="71" t="str">
        <f>IF(BC11=100%,"SI CUMPLE","NO CUMPLE")</f>
        <v>NO CUMPLE</v>
      </c>
    </row>
    <row r="12" spans="1:56" ht="61" customHeight="1" x14ac:dyDescent="0.35">
      <c r="A12" s="77"/>
      <c r="B12" s="74"/>
      <c r="C12" s="75"/>
      <c r="D12" s="74"/>
      <c r="E12" s="74"/>
      <c r="F12" s="76"/>
      <c r="G12" s="74"/>
      <c r="H12" s="76"/>
      <c r="I12" s="38"/>
      <c r="J12" s="38"/>
      <c r="K12" s="68"/>
      <c r="L12" s="68"/>
      <c r="M12" s="40"/>
      <c r="N12" s="40"/>
      <c r="O12" s="68"/>
      <c r="P12" s="68"/>
      <c r="Q12" s="40"/>
      <c r="R12" s="40"/>
      <c r="S12" s="68"/>
      <c r="T12" s="68"/>
      <c r="U12" s="40"/>
      <c r="V12" s="40"/>
      <c r="W12" s="68"/>
      <c r="X12" s="68"/>
      <c r="Y12" s="40"/>
      <c r="Z12" s="40"/>
      <c r="AA12" s="68"/>
      <c r="AB12" s="68"/>
      <c r="AC12" s="40"/>
      <c r="AD12" s="40"/>
      <c r="AE12" s="68"/>
      <c r="AF12" s="68"/>
      <c r="AG12" s="40"/>
      <c r="AH12" s="40"/>
      <c r="AI12" s="68"/>
      <c r="AJ12" s="68"/>
      <c r="AK12" s="40"/>
      <c r="AL12" s="40"/>
      <c r="AM12" s="68"/>
      <c r="AN12" s="68"/>
      <c r="AO12" s="40"/>
      <c r="AP12" s="40"/>
      <c r="AQ12" s="68"/>
      <c r="AR12" s="68"/>
      <c r="AS12" s="40"/>
      <c r="AT12" s="40"/>
      <c r="AU12" s="68"/>
      <c r="AV12" s="68"/>
      <c r="AW12" s="40"/>
      <c r="AX12" s="40"/>
      <c r="AY12" s="68"/>
      <c r="AZ12" s="68"/>
      <c r="BA12" s="34" t="s">
        <v>179</v>
      </c>
      <c r="BB12" s="43">
        <v>80</v>
      </c>
      <c r="BC12" s="70"/>
      <c r="BD12" s="72"/>
    </row>
    <row r="13" spans="1:56" ht="61" customHeight="1" x14ac:dyDescent="0.35">
      <c r="A13" s="62" t="s">
        <v>10</v>
      </c>
      <c r="B13" s="33" t="s">
        <v>184</v>
      </c>
      <c r="C13" s="35" t="s">
        <v>106</v>
      </c>
      <c r="D13" s="33" t="s">
        <v>198</v>
      </c>
      <c r="E13" s="33" t="s">
        <v>185</v>
      </c>
      <c r="F13" s="34" t="s">
        <v>7</v>
      </c>
      <c r="G13" s="33" t="s">
        <v>60</v>
      </c>
      <c r="H13" s="52" t="s">
        <v>56</v>
      </c>
      <c r="I13" s="38"/>
      <c r="J13" s="38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78" t="s">
        <v>198</v>
      </c>
      <c r="BB13" s="79"/>
      <c r="BC13" s="13" t="s">
        <v>121</v>
      </c>
      <c r="BD13" s="13" t="str">
        <f t="shared" ref="BD13:BD18" si="0">IF(BC13="SI","SI CUMPLE","NO CUMPLE")</f>
        <v>NO CUMPLE</v>
      </c>
    </row>
    <row r="14" spans="1:56" ht="61" customHeight="1" x14ac:dyDescent="0.35">
      <c r="A14" s="62" t="s">
        <v>105</v>
      </c>
      <c r="B14" s="33" t="s">
        <v>188</v>
      </c>
      <c r="C14" s="33" t="s">
        <v>106</v>
      </c>
      <c r="D14" s="33" t="s">
        <v>187</v>
      </c>
      <c r="E14" s="33" t="s">
        <v>189</v>
      </c>
      <c r="F14" s="34" t="s">
        <v>7</v>
      </c>
      <c r="G14" s="33" t="s">
        <v>60</v>
      </c>
      <c r="H14" s="33" t="s">
        <v>56</v>
      </c>
      <c r="I14" s="38"/>
      <c r="J14" s="38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78" t="s">
        <v>187</v>
      </c>
      <c r="BB14" s="79"/>
      <c r="BC14" s="13" t="s">
        <v>106</v>
      </c>
      <c r="BD14" s="13" t="str">
        <f t="shared" si="0"/>
        <v>SI CUMPLE</v>
      </c>
    </row>
    <row r="15" spans="1:56" ht="61" customHeight="1" x14ac:dyDescent="0.35">
      <c r="A15" s="62" t="s">
        <v>57</v>
      </c>
      <c r="B15" s="33" t="s">
        <v>190</v>
      </c>
      <c r="C15" s="33" t="s">
        <v>106</v>
      </c>
      <c r="D15" s="33" t="s">
        <v>197</v>
      </c>
      <c r="E15" s="33" t="s">
        <v>191</v>
      </c>
      <c r="F15" s="34" t="s">
        <v>7</v>
      </c>
      <c r="G15" s="33" t="s">
        <v>60</v>
      </c>
      <c r="H15" s="33" t="s">
        <v>56</v>
      </c>
      <c r="I15" s="38"/>
      <c r="J15" s="38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78" t="s">
        <v>197</v>
      </c>
      <c r="BB15" s="79"/>
      <c r="BC15" s="13" t="s">
        <v>121</v>
      </c>
      <c r="BD15" s="13" t="str">
        <f t="shared" si="0"/>
        <v>NO CUMPLE</v>
      </c>
    </row>
    <row r="16" spans="1:56" ht="61" customHeight="1" x14ac:dyDescent="0.35">
      <c r="A16" s="62" t="s">
        <v>192</v>
      </c>
      <c r="B16" s="33" t="s">
        <v>193</v>
      </c>
      <c r="C16" s="33" t="s">
        <v>106</v>
      </c>
      <c r="D16" s="33" t="s">
        <v>196</v>
      </c>
      <c r="E16" s="33" t="s">
        <v>194</v>
      </c>
      <c r="F16" s="34" t="s">
        <v>7</v>
      </c>
      <c r="G16" s="33" t="s">
        <v>60</v>
      </c>
      <c r="H16" s="33" t="s">
        <v>56</v>
      </c>
      <c r="I16" s="38"/>
      <c r="J16" s="38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78" t="s">
        <v>196</v>
      </c>
      <c r="BB16" s="79"/>
      <c r="BC16" s="13" t="s">
        <v>106</v>
      </c>
      <c r="BD16" s="13" t="str">
        <f t="shared" si="0"/>
        <v>SI CUMPLE</v>
      </c>
    </row>
    <row r="17" spans="1:56" ht="61" customHeight="1" x14ac:dyDescent="0.35">
      <c r="A17" s="62" t="s">
        <v>11</v>
      </c>
      <c r="B17" s="33" t="s">
        <v>199</v>
      </c>
      <c r="C17" s="33" t="s">
        <v>106</v>
      </c>
      <c r="D17" s="33" t="s">
        <v>200</v>
      </c>
      <c r="E17" s="33" t="s">
        <v>58</v>
      </c>
      <c r="F17" s="34" t="s">
        <v>7</v>
      </c>
      <c r="G17" s="33" t="s">
        <v>60</v>
      </c>
      <c r="H17" s="33" t="s">
        <v>56</v>
      </c>
      <c r="I17" s="38"/>
      <c r="J17" s="38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78" t="s">
        <v>200</v>
      </c>
      <c r="BB17" s="79"/>
      <c r="BC17" s="13" t="s">
        <v>106</v>
      </c>
      <c r="BD17" s="13" t="str">
        <f t="shared" si="0"/>
        <v>SI CUMPLE</v>
      </c>
    </row>
    <row r="18" spans="1:56" ht="61" customHeight="1" x14ac:dyDescent="0.35">
      <c r="A18" s="62" t="s">
        <v>35</v>
      </c>
      <c r="B18" s="33" t="s">
        <v>201</v>
      </c>
      <c r="C18" s="33" t="s">
        <v>106</v>
      </c>
      <c r="D18" s="33" t="s">
        <v>202</v>
      </c>
      <c r="E18" s="33" t="s">
        <v>59</v>
      </c>
      <c r="F18" s="34" t="s">
        <v>7</v>
      </c>
      <c r="G18" s="33" t="s">
        <v>60</v>
      </c>
      <c r="H18" s="33" t="s">
        <v>56</v>
      </c>
      <c r="I18" s="38"/>
      <c r="J18" s="38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78" t="s">
        <v>276</v>
      </c>
      <c r="BB18" s="79"/>
      <c r="BC18" s="13" t="s">
        <v>106</v>
      </c>
      <c r="BD18" s="13" t="str">
        <f t="shared" si="0"/>
        <v>SI CUMPLE</v>
      </c>
    </row>
    <row r="19" spans="1:56" ht="61" customHeight="1" x14ac:dyDescent="0.35">
      <c r="A19" s="48"/>
      <c r="B19" s="49"/>
      <c r="C19" s="50"/>
      <c r="D19" s="36"/>
      <c r="E19" s="36"/>
      <c r="F19" s="36"/>
      <c r="G19" s="50"/>
      <c r="H19" s="36"/>
      <c r="I19" s="36"/>
      <c r="J19" s="36"/>
    </row>
    <row r="20" spans="1:56" ht="20" customHeight="1" x14ac:dyDescent="0.35">
      <c r="A20" s="90" t="s">
        <v>305</v>
      </c>
      <c r="B20" s="90"/>
      <c r="C20" s="90"/>
      <c r="D20" s="90"/>
      <c r="E20" s="90"/>
      <c r="F20" s="90"/>
      <c r="G20" s="90"/>
      <c r="H20" s="90"/>
      <c r="I20" s="115" t="s">
        <v>33</v>
      </c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</row>
    <row r="21" spans="1:56" ht="20" customHeight="1" x14ac:dyDescent="0.35">
      <c r="A21" s="91"/>
      <c r="B21" s="91"/>
      <c r="C21" s="91"/>
      <c r="D21" s="91"/>
      <c r="E21" s="91"/>
      <c r="F21" s="91"/>
      <c r="G21" s="91"/>
      <c r="H21" s="91"/>
      <c r="I21" s="117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</row>
    <row r="22" spans="1:56" ht="61" customHeight="1" x14ac:dyDescent="0.35">
      <c r="A22" s="56" t="s">
        <v>0</v>
      </c>
      <c r="B22" s="56" t="s">
        <v>1</v>
      </c>
      <c r="C22" s="56" t="s">
        <v>2</v>
      </c>
      <c r="D22" s="56" t="s">
        <v>3</v>
      </c>
      <c r="E22" s="56" t="s">
        <v>4</v>
      </c>
      <c r="F22" s="56" t="s">
        <v>5</v>
      </c>
      <c r="G22" s="56" t="s">
        <v>6</v>
      </c>
      <c r="H22" s="56" t="s">
        <v>20</v>
      </c>
      <c r="I22" s="86" t="s">
        <v>158</v>
      </c>
      <c r="J22" s="87"/>
      <c r="K22" s="56" t="s">
        <v>159</v>
      </c>
      <c r="L22" s="56" t="s">
        <v>119</v>
      </c>
      <c r="M22" s="88" t="s">
        <v>158</v>
      </c>
      <c r="N22" s="89"/>
      <c r="O22" s="57" t="s">
        <v>161</v>
      </c>
      <c r="P22" s="57" t="s">
        <v>119</v>
      </c>
      <c r="Q22" s="86" t="s">
        <v>158</v>
      </c>
      <c r="R22" s="87"/>
      <c r="S22" s="56" t="s">
        <v>162</v>
      </c>
      <c r="T22" s="56" t="s">
        <v>119</v>
      </c>
      <c r="U22" s="88" t="s">
        <v>158</v>
      </c>
      <c r="V22" s="89"/>
      <c r="W22" s="57" t="s">
        <v>163</v>
      </c>
      <c r="X22" s="57" t="s">
        <v>119</v>
      </c>
      <c r="Y22" s="86" t="s">
        <v>158</v>
      </c>
      <c r="Z22" s="87"/>
      <c r="AA22" s="56" t="s">
        <v>164</v>
      </c>
      <c r="AB22" s="56" t="s">
        <v>119</v>
      </c>
      <c r="AC22" s="88" t="s">
        <v>158</v>
      </c>
      <c r="AD22" s="89"/>
      <c r="AE22" s="57" t="s">
        <v>165</v>
      </c>
      <c r="AF22" s="57" t="s">
        <v>119</v>
      </c>
      <c r="AG22" s="86" t="s">
        <v>158</v>
      </c>
      <c r="AH22" s="87"/>
      <c r="AI22" s="56" t="s">
        <v>166</v>
      </c>
      <c r="AJ22" s="56" t="s">
        <v>119</v>
      </c>
      <c r="AK22" s="88" t="s">
        <v>158</v>
      </c>
      <c r="AL22" s="89"/>
      <c r="AM22" s="57" t="s">
        <v>167</v>
      </c>
      <c r="AN22" s="57" t="s">
        <v>119</v>
      </c>
      <c r="AO22" s="86" t="s">
        <v>158</v>
      </c>
      <c r="AP22" s="87"/>
      <c r="AQ22" s="56" t="s">
        <v>168</v>
      </c>
      <c r="AR22" s="56" t="s">
        <v>119</v>
      </c>
      <c r="AS22" s="88" t="s">
        <v>158</v>
      </c>
      <c r="AT22" s="89"/>
      <c r="AU22" s="57" t="s">
        <v>170</v>
      </c>
      <c r="AV22" s="57" t="s">
        <v>119</v>
      </c>
      <c r="AW22" s="86" t="s">
        <v>158</v>
      </c>
      <c r="AX22" s="87"/>
      <c r="AY22" s="56" t="s">
        <v>169</v>
      </c>
      <c r="AZ22" s="56" t="s">
        <v>119</v>
      </c>
      <c r="BA22" s="88" t="s">
        <v>158</v>
      </c>
      <c r="BB22" s="89"/>
      <c r="BC22" s="57" t="s">
        <v>171</v>
      </c>
      <c r="BD22" s="57" t="s">
        <v>119</v>
      </c>
    </row>
    <row r="23" spans="1:56" ht="61" customHeight="1" x14ac:dyDescent="0.35">
      <c r="A23" s="77" t="s">
        <v>203</v>
      </c>
      <c r="B23" s="74" t="s">
        <v>62</v>
      </c>
      <c r="C23" s="75">
        <v>0.8</v>
      </c>
      <c r="D23" s="74" t="s">
        <v>111</v>
      </c>
      <c r="E23" s="74" t="s">
        <v>63</v>
      </c>
      <c r="F23" s="76" t="s">
        <v>7</v>
      </c>
      <c r="G23" s="74" t="s">
        <v>60</v>
      </c>
      <c r="H23" s="74" t="s">
        <v>56</v>
      </c>
      <c r="I23" s="38"/>
      <c r="J23" s="38"/>
      <c r="K23" s="67"/>
      <c r="L23" s="67"/>
      <c r="M23" s="39"/>
      <c r="N23" s="39"/>
      <c r="O23" s="67"/>
      <c r="P23" s="67"/>
      <c r="Q23" s="39"/>
      <c r="R23" s="39"/>
      <c r="S23" s="67"/>
      <c r="T23" s="67"/>
      <c r="U23" s="39"/>
      <c r="V23" s="39"/>
      <c r="W23" s="67"/>
      <c r="X23" s="67"/>
      <c r="Y23" s="39"/>
      <c r="Z23" s="39"/>
      <c r="AA23" s="67"/>
      <c r="AB23" s="67"/>
      <c r="AC23" s="39"/>
      <c r="AD23" s="39"/>
      <c r="AE23" s="67"/>
      <c r="AF23" s="67"/>
      <c r="AG23" s="39"/>
      <c r="AH23" s="39"/>
      <c r="AI23" s="67"/>
      <c r="AJ23" s="67"/>
      <c r="AK23" s="39"/>
      <c r="AL23" s="39"/>
      <c r="AM23" s="67"/>
      <c r="AN23" s="67"/>
      <c r="AO23" s="39"/>
      <c r="AP23" s="39"/>
      <c r="AQ23" s="67"/>
      <c r="AR23" s="67"/>
      <c r="AS23" s="39"/>
      <c r="AT23" s="39"/>
      <c r="AU23" s="67"/>
      <c r="AV23" s="67"/>
      <c r="AW23" s="39"/>
      <c r="AX23" s="39"/>
      <c r="AY23" s="67"/>
      <c r="AZ23" s="67"/>
      <c r="BA23" s="47" t="s">
        <v>204</v>
      </c>
      <c r="BB23" s="42">
        <v>50</v>
      </c>
      <c r="BC23" s="69">
        <f>BB23/BB24*100%</f>
        <v>0.83333333333333337</v>
      </c>
      <c r="BD23" s="71" t="str">
        <f>IF(BC23&gt;=80%,"SI CUMPLE","NO CUMPLE")</f>
        <v>SI CUMPLE</v>
      </c>
    </row>
    <row r="24" spans="1:56" ht="61" customHeight="1" x14ac:dyDescent="0.35">
      <c r="A24" s="77"/>
      <c r="B24" s="74"/>
      <c r="C24" s="75"/>
      <c r="D24" s="74"/>
      <c r="E24" s="74"/>
      <c r="F24" s="76"/>
      <c r="G24" s="74"/>
      <c r="H24" s="74"/>
      <c r="I24" s="38"/>
      <c r="J24" s="38"/>
      <c r="K24" s="68"/>
      <c r="L24" s="68"/>
      <c r="M24" s="40"/>
      <c r="N24" s="40"/>
      <c r="O24" s="68"/>
      <c r="P24" s="68"/>
      <c r="Q24" s="40"/>
      <c r="R24" s="40"/>
      <c r="S24" s="68"/>
      <c r="T24" s="68"/>
      <c r="U24" s="40"/>
      <c r="V24" s="40"/>
      <c r="W24" s="68"/>
      <c r="X24" s="68"/>
      <c r="Y24" s="40"/>
      <c r="Z24" s="40"/>
      <c r="AA24" s="68"/>
      <c r="AB24" s="68"/>
      <c r="AC24" s="40"/>
      <c r="AD24" s="40"/>
      <c r="AE24" s="68"/>
      <c r="AF24" s="68"/>
      <c r="AG24" s="40"/>
      <c r="AH24" s="40"/>
      <c r="AI24" s="68"/>
      <c r="AJ24" s="68"/>
      <c r="AK24" s="40"/>
      <c r="AL24" s="40"/>
      <c r="AM24" s="68"/>
      <c r="AN24" s="68"/>
      <c r="AO24" s="40"/>
      <c r="AP24" s="40"/>
      <c r="AQ24" s="68"/>
      <c r="AR24" s="68"/>
      <c r="AS24" s="40"/>
      <c r="AT24" s="40"/>
      <c r="AU24" s="68"/>
      <c r="AV24" s="68"/>
      <c r="AW24" s="40"/>
      <c r="AX24" s="40"/>
      <c r="AY24" s="68"/>
      <c r="AZ24" s="68"/>
      <c r="BA24" s="47" t="s">
        <v>205</v>
      </c>
      <c r="BB24" s="43">
        <v>60</v>
      </c>
      <c r="BC24" s="70"/>
      <c r="BD24" s="72"/>
    </row>
    <row r="25" spans="1:56" ht="61" customHeight="1" x14ac:dyDescent="0.35">
      <c r="A25" s="77" t="s">
        <v>37</v>
      </c>
      <c r="B25" s="74" t="s">
        <v>64</v>
      </c>
      <c r="C25" s="75">
        <v>0.8</v>
      </c>
      <c r="D25" s="74" t="s">
        <v>207</v>
      </c>
      <c r="E25" s="74" t="s">
        <v>206</v>
      </c>
      <c r="F25" s="76" t="s">
        <v>13</v>
      </c>
      <c r="G25" s="74" t="s">
        <v>60</v>
      </c>
      <c r="H25" s="74" t="s">
        <v>56</v>
      </c>
      <c r="I25" s="47" t="s">
        <v>209</v>
      </c>
      <c r="J25" s="42">
        <v>10</v>
      </c>
      <c r="K25" s="69">
        <f>J25/J26*100%</f>
        <v>0.5</v>
      </c>
      <c r="L25" s="71" t="str">
        <f>IF(K25&gt;=80%,"SI CUMPLE","NO CUMPLE")</f>
        <v>NO CUMPLE</v>
      </c>
      <c r="M25" s="47" t="s">
        <v>209</v>
      </c>
      <c r="N25" s="42">
        <v>16</v>
      </c>
      <c r="O25" s="69">
        <f>N25/N26*100%</f>
        <v>0.88888888888888884</v>
      </c>
      <c r="P25" s="71" t="str">
        <f>IF(O25&gt;=80%,"SI CUMPLE","NO CUMPLE")</f>
        <v>SI CUMPLE</v>
      </c>
      <c r="Q25" s="47" t="s">
        <v>209</v>
      </c>
      <c r="R25" s="42">
        <v>12</v>
      </c>
      <c r="S25" s="69">
        <f>R25/R26*100%</f>
        <v>0.6</v>
      </c>
      <c r="T25" s="71" t="str">
        <f>IF(S25&gt;=80%,"SI CUMPLE","NO CUMPLE")</f>
        <v>NO CUMPLE</v>
      </c>
      <c r="U25" s="47" t="s">
        <v>209</v>
      </c>
      <c r="V25" s="42">
        <v>9</v>
      </c>
      <c r="W25" s="69">
        <f>V25/V26*100%</f>
        <v>0.9</v>
      </c>
      <c r="X25" s="71" t="str">
        <f>IF(W25&gt;=80%,"SI CUMPLE","NO CUMPLE")</f>
        <v>SI CUMPLE</v>
      </c>
      <c r="Y25" s="47" t="s">
        <v>209</v>
      </c>
      <c r="Z25" s="42">
        <v>12</v>
      </c>
      <c r="AA25" s="69">
        <f>Z25/Z26*100%</f>
        <v>0.8</v>
      </c>
      <c r="AB25" s="71" t="str">
        <f>IF(AA25&gt;=80%,"SI CUMPLE","NO CUMPLE")</f>
        <v>SI CUMPLE</v>
      </c>
      <c r="AC25" s="47" t="s">
        <v>209</v>
      </c>
      <c r="AD25" s="42">
        <v>12</v>
      </c>
      <c r="AE25" s="69">
        <f>AD25/AD26*100%</f>
        <v>0.8</v>
      </c>
      <c r="AF25" s="71" t="str">
        <f>IF(AE25&gt;=80%,"SI CUMPLE","NO CUMPLE")</f>
        <v>SI CUMPLE</v>
      </c>
      <c r="AG25" s="47" t="s">
        <v>209</v>
      </c>
      <c r="AH25" s="42">
        <v>12</v>
      </c>
      <c r="AI25" s="69">
        <f>AH25/AH26*100%</f>
        <v>0.8</v>
      </c>
      <c r="AJ25" s="71" t="str">
        <f>IF(AI25&gt;=80%,"SI CUMPLE","NO CUMPLE")</f>
        <v>SI CUMPLE</v>
      </c>
      <c r="AK25" s="47" t="s">
        <v>209</v>
      </c>
      <c r="AL25" s="42">
        <v>12</v>
      </c>
      <c r="AM25" s="69">
        <f>AL25/AL26*100%</f>
        <v>0.8</v>
      </c>
      <c r="AN25" s="71" t="str">
        <f>IF(AM25&gt;=80%,"SI CUMPLE","NO CUMPLE")</f>
        <v>SI CUMPLE</v>
      </c>
      <c r="AO25" s="47" t="s">
        <v>209</v>
      </c>
      <c r="AP25" s="42">
        <v>12</v>
      </c>
      <c r="AQ25" s="69">
        <f>AP25/AP26*100%</f>
        <v>0.8</v>
      </c>
      <c r="AR25" s="71" t="str">
        <f>IF(AQ25&gt;=80%,"SI CUMPLE","NO CUMPLE")</f>
        <v>SI CUMPLE</v>
      </c>
      <c r="AS25" s="47" t="s">
        <v>209</v>
      </c>
      <c r="AT25" s="42">
        <v>12</v>
      </c>
      <c r="AU25" s="69">
        <f>AT25/AT26*100%</f>
        <v>0.8</v>
      </c>
      <c r="AV25" s="71" t="str">
        <f>IF(AU25&gt;=80%,"SI CUMPLE","NO CUMPLE")</f>
        <v>SI CUMPLE</v>
      </c>
      <c r="AW25" s="47" t="s">
        <v>209</v>
      </c>
      <c r="AX25" s="42">
        <v>12</v>
      </c>
      <c r="AY25" s="69">
        <f>AX25/AX26*100%</f>
        <v>0.8</v>
      </c>
      <c r="AZ25" s="71" t="str">
        <f>IF(AY25&gt;=80%,"SI CUMPLE","NO CUMPLE")</f>
        <v>SI CUMPLE</v>
      </c>
      <c r="BA25" s="47" t="s">
        <v>209</v>
      </c>
      <c r="BB25" s="42">
        <v>12</v>
      </c>
      <c r="BC25" s="69">
        <f>BB25/BB26*100%</f>
        <v>0.8</v>
      </c>
      <c r="BD25" s="71" t="str">
        <f>IF(BC25&gt;=80%,"SI CUMPLE","NO CUMPLE")</f>
        <v>SI CUMPLE</v>
      </c>
    </row>
    <row r="26" spans="1:56" ht="61" customHeight="1" x14ac:dyDescent="0.35">
      <c r="A26" s="77"/>
      <c r="B26" s="74"/>
      <c r="C26" s="75"/>
      <c r="D26" s="74"/>
      <c r="E26" s="74"/>
      <c r="F26" s="76"/>
      <c r="G26" s="74"/>
      <c r="H26" s="74"/>
      <c r="I26" s="47" t="s">
        <v>208</v>
      </c>
      <c r="J26" s="43">
        <v>20</v>
      </c>
      <c r="K26" s="70"/>
      <c r="L26" s="72"/>
      <c r="M26" s="47" t="s">
        <v>208</v>
      </c>
      <c r="N26" s="43">
        <v>18</v>
      </c>
      <c r="O26" s="70"/>
      <c r="P26" s="72"/>
      <c r="Q26" s="47" t="s">
        <v>208</v>
      </c>
      <c r="R26" s="43">
        <v>20</v>
      </c>
      <c r="S26" s="70"/>
      <c r="T26" s="72"/>
      <c r="U26" s="47" t="s">
        <v>208</v>
      </c>
      <c r="V26" s="43">
        <v>10</v>
      </c>
      <c r="W26" s="70"/>
      <c r="X26" s="72"/>
      <c r="Y26" s="47" t="s">
        <v>208</v>
      </c>
      <c r="Z26" s="43">
        <v>15</v>
      </c>
      <c r="AA26" s="70"/>
      <c r="AB26" s="72"/>
      <c r="AC26" s="47" t="s">
        <v>208</v>
      </c>
      <c r="AD26" s="43">
        <v>15</v>
      </c>
      <c r="AE26" s="70"/>
      <c r="AF26" s="72"/>
      <c r="AG26" s="47" t="s">
        <v>208</v>
      </c>
      <c r="AH26" s="43">
        <v>15</v>
      </c>
      <c r="AI26" s="70"/>
      <c r="AJ26" s="72"/>
      <c r="AK26" s="47" t="s">
        <v>208</v>
      </c>
      <c r="AL26" s="43">
        <v>15</v>
      </c>
      <c r="AM26" s="70"/>
      <c r="AN26" s="72"/>
      <c r="AO26" s="47" t="s">
        <v>208</v>
      </c>
      <c r="AP26" s="43">
        <v>15</v>
      </c>
      <c r="AQ26" s="70"/>
      <c r="AR26" s="72"/>
      <c r="AS26" s="47" t="s">
        <v>208</v>
      </c>
      <c r="AT26" s="43">
        <v>15</v>
      </c>
      <c r="AU26" s="70"/>
      <c r="AV26" s="72"/>
      <c r="AW26" s="47" t="s">
        <v>208</v>
      </c>
      <c r="AX26" s="43">
        <v>15</v>
      </c>
      <c r="AY26" s="70"/>
      <c r="AZ26" s="72"/>
      <c r="BA26" s="47" t="s">
        <v>208</v>
      </c>
      <c r="BB26" s="43">
        <v>15</v>
      </c>
      <c r="BC26" s="70"/>
      <c r="BD26" s="72"/>
    </row>
    <row r="27" spans="1:56" ht="61" customHeight="1" x14ac:dyDescent="0.35">
      <c r="A27" s="77" t="s">
        <v>210</v>
      </c>
      <c r="B27" s="74" t="s">
        <v>211</v>
      </c>
      <c r="C27" s="75">
        <v>0.8</v>
      </c>
      <c r="D27" s="74" t="s">
        <v>212</v>
      </c>
      <c r="E27" s="74" t="s">
        <v>213</v>
      </c>
      <c r="F27" s="76" t="s">
        <v>13</v>
      </c>
      <c r="G27" s="74" t="s">
        <v>60</v>
      </c>
      <c r="H27" s="74" t="s">
        <v>56</v>
      </c>
      <c r="I27" s="47" t="s">
        <v>214</v>
      </c>
      <c r="J27" s="42">
        <v>8</v>
      </c>
      <c r="K27" s="69">
        <f>J27/J28*100%</f>
        <v>0.8</v>
      </c>
      <c r="L27" s="71" t="str">
        <f>IF(K27&gt;=80%,"SI CUMPLE","NO CUMPLE")</f>
        <v>SI CUMPLE</v>
      </c>
      <c r="M27" s="47" t="s">
        <v>214</v>
      </c>
      <c r="N27" s="42">
        <v>10</v>
      </c>
      <c r="O27" s="69">
        <f>N27/N28*100%</f>
        <v>0.5</v>
      </c>
      <c r="P27" s="71" t="str">
        <f>IF(O27&gt;=80%,"SI CUMPLE","NO CUMPLE")</f>
        <v>NO CUMPLE</v>
      </c>
      <c r="Q27" s="47" t="s">
        <v>214</v>
      </c>
      <c r="R27" s="42">
        <v>10</v>
      </c>
      <c r="S27" s="69">
        <f>R27/R28*100%</f>
        <v>0.66666666666666663</v>
      </c>
      <c r="T27" s="71" t="str">
        <f>IF(S27&gt;=80%,"SI CUMPLE","NO CUMPLE")</f>
        <v>NO CUMPLE</v>
      </c>
      <c r="U27" s="47" t="s">
        <v>214</v>
      </c>
      <c r="V27" s="42">
        <v>8</v>
      </c>
      <c r="W27" s="69">
        <f>V27/V28*100%</f>
        <v>1</v>
      </c>
      <c r="X27" s="71" t="str">
        <f>IF(W27&gt;=80%,"SI CUMPLE","NO CUMPLE")</f>
        <v>SI CUMPLE</v>
      </c>
      <c r="Y27" s="47" t="s">
        <v>214</v>
      </c>
      <c r="Z27" s="42">
        <v>5</v>
      </c>
      <c r="AA27" s="69">
        <f>Z27/Z28*100%</f>
        <v>1</v>
      </c>
      <c r="AB27" s="71" t="str">
        <f>IF(AA27&gt;=80%,"SI CUMPLE","NO CUMPLE")</f>
        <v>SI CUMPLE</v>
      </c>
      <c r="AC27" s="47" t="s">
        <v>214</v>
      </c>
      <c r="AD27" s="42">
        <v>7</v>
      </c>
      <c r="AE27" s="69">
        <f>AD27/AD28*100%</f>
        <v>1</v>
      </c>
      <c r="AF27" s="71" t="str">
        <f>IF(AE27&gt;=80%,"SI CUMPLE","NO CUMPLE")</f>
        <v>SI CUMPLE</v>
      </c>
      <c r="AG27" s="47" t="s">
        <v>214</v>
      </c>
      <c r="AH27" s="42">
        <v>12</v>
      </c>
      <c r="AI27" s="69">
        <f>AH27/AH28*100%</f>
        <v>0.8</v>
      </c>
      <c r="AJ27" s="71" t="str">
        <f>IF(AI27&gt;=80%,"SI CUMPLE","NO CUMPLE")</f>
        <v>SI CUMPLE</v>
      </c>
      <c r="AK27" s="47" t="s">
        <v>214</v>
      </c>
      <c r="AL27" s="42">
        <v>10</v>
      </c>
      <c r="AM27" s="69">
        <f>AL27/AL28*100%</f>
        <v>0.5</v>
      </c>
      <c r="AN27" s="71" t="str">
        <f>IF(AM27&gt;=80%,"SI CUMPLE","NO CUMPLE")</f>
        <v>NO CUMPLE</v>
      </c>
      <c r="AO27" s="47" t="s">
        <v>214</v>
      </c>
      <c r="AP27" s="42">
        <v>10</v>
      </c>
      <c r="AQ27" s="69">
        <f>AP27/AP28*100%</f>
        <v>0.5</v>
      </c>
      <c r="AR27" s="71" t="str">
        <f>IF(AQ27&gt;=80%,"SI CUMPLE","NO CUMPLE")</f>
        <v>NO CUMPLE</v>
      </c>
      <c r="AS27" s="47" t="s">
        <v>214</v>
      </c>
      <c r="AT27" s="42">
        <v>10</v>
      </c>
      <c r="AU27" s="69">
        <f>AT27/AT28*100%</f>
        <v>0.5</v>
      </c>
      <c r="AV27" s="71" t="str">
        <f>IF(AU27&gt;=80%,"SI CUMPLE","NO CUMPLE")</f>
        <v>NO CUMPLE</v>
      </c>
      <c r="AW27" s="47" t="s">
        <v>214</v>
      </c>
      <c r="AX27" s="42">
        <v>10</v>
      </c>
      <c r="AY27" s="69">
        <f>AX27/AX28*100%</f>
        <v>0.5</v>
      </c>
      <c r="AZ27" s="71" t="str">
        <f>IF(AY27&gt;=80%,"SI CUMPLE","NO CUMPLE")</f>
        <v>NO CUMPLE</v>
      </c>
      <c r="BA27" s="47" t="s">
        <v>214</v>
      </c>
      <c r="BB27" s="42">
        <v>10</v>
      </c>
      <c r="BC27" s="69">
        <f>BB27/BB28*100%</f>
        <v>0.5</v>
      </c>
      <c r="BD27" s="71" t="str">
        <f>IF(BC27&gt;=80%,"SI CUMPLE","NO CUMPLE")</f>
        <v>NO CUMPLE</v>
      </c>
    </row>
    <row r="28" spans="1:56" ht="61" customHeight="1" x14ac:dyDescent="0.35">
      <c r="A28" s="77"/>
      <c r="B28" s="74"/>
      <c r="C28" s="75"/>
      <c r="D28" s="74"/>
      <c r="E28" s="74"/>
      <c r="F28" s="76"/>
      <c r="G28" s="74"/>
      <c r="H28" s="74"/>
      <c r="I28" s="47" t="s">
        <v>215</v>
      </c>
      <c r="J28" s="43">
        <v>10</v>
      </c>
      <c r="K28" s="70"/>
      <c r="L28" s="72"/>
      <c r="M28" s="47" t="s">
        <v>215</v>
      </c>
      <c r="N28" s="43">
        <v>20</v>
      </c>
      <c r="O28" s="70"/>
      <c r="P28" s="72"/>
      <c r="Q28" s="47" t="s">
        <v>215</v>
      </c>
      <c r="R28" s="43">
        <v>15</v>
      </c>
      <c r="S28" s="70"/>
      <c r="T28" s="72"/>
      <c r="U28" s="47" t="s">
        <v>215</v>
      </c>
      <c r="V28" s="43">
        <v>8</v>
      </c>
      <c r="W28" s="70"/>
      <c r="X28" s="72"/>
      <c r="Y28" s="47" t="s">
        <v>215</v>
      </c>
      <c r="Z28" s="43">
        <v>5</v>
      </c>
      <c r="AA28" s="70"/>
      <c r="AB28" s="72"/>
      <c r="AC28" s="47" t="s">
        <v>215</v>
      </c>
      <c r="AD28" s="43">
        <v>7</v>
      </c>
      <c r="AE28" s="70"/>
      <c r="AF28" s="72"/>
      <c r="AG28" s="47" t="s">
        <v>215</v>
      </c>
      <c r="AH28" s="43">
        <v>15</v>
      </c>
      <c r="AI28" s="70"/>
      <c r="AJ28" s="72"/>
      <c r="AK28" s="47" t="s">
        <v>215</v>
      </c>
      <c r="AL28" s="43">
        <v>20</v>
      </c>
      <c r="AM28" s="70"/>
      <c r="AN28" s="72"/>
      <c r="AO28" s="47" t="s">
        <v>215</v>
      </c>
      <c r="AP28" s="43">
        <v>20</v>
      </c>
      <c r="AQ28" s="70"/>
      <c r="AR28" s="72"/>
      <c r="AS28" s="47" t="s">
        <v>215</v>
      </c>
      <c r="AT28" s="43">
        <v>20</v>
      </c>
      <c r="AU28" s="70"/>
      <c r="AV28" s="72"/>
      <c r="AW28" s="47" t="s">
        <v>215</v>
      </c>
      <c r="AX28" s="43">
        <v>20</v>
      </c>
      <c r="AY28" s="70"/>
      <c r="AZ28" s="72"/>
      <c r="BA28" s="47" t="s">
        <v>215</v>
      </c>
      <c r="BB28" s="43">
        <v>20</v>
      </c>
      <c r="BC28" s="70"/>
      <c r="BD28" s="72"/>
    </row>
    <row r="29" spans="1:56" ht="61" customHeight="1" x14ac:dyDescent="0.35">
      <c r="A29" s="77" t="s">
        <v>65</v>
      </c>
      <c r="B29" s="74" t="s">
        <v>12</v>
      </c>
      <c r="C29" s="75">
        <v>0.8</v>
      </c>
      <c r="D29" s="74" t="s">
        <v>217</v>
      </c>
      <c r="E29" s="74" t="s">
        <v>216</v>
      </c>
      <c r="F29" s="76" t="s">
        <v>7</v>
      </c>
      <c r="G29" s="74" t="s">
        <v>60</v>
      </c>
      <c r="H29" s="74" t="s">
        <v>56</v>
      </c>
      <c r="I29" s="38"/>
      <c r="J29" s="38"/>
      <c r="K29" s="67"/>
      <c r="L29" s="67"/>
      <c r="M29" s="39"/>
      <c r="N29" s="39"/>
      <c r="O29" s="67"/>
      <c r="P29" s="67"/>
      <c r="Q29" s="39"/>
      <c r="R29" s="39"/>
      <c r="S29" s="67"/>
      <c r="T29" s="67"/>
      <c r="U29" s="39"/>
      <c r="V29" s="39"/>
      <c r="W29" s="67"/>
      <c r="X29" s="67"/>
      <c r="Y29" s="39"/>
      <c r="Z29" s="39"/>
      <c r="AA29" s="67"/>
      <c r="AB29" s="67"/>
      <c r="AC29" s="39"/>
      <c r="AD29" s="39"/>
      <c r="AE29" s="67"/>
      <c r="AF29" s="67"/>
      <c r="AG29" s="39"/>
      <c r="AH29" s="39"/>
      <c r="AI29" s="67"/>
      <c r="AJ29" s="67"/>
      <c r="AK29" s="39"/>
      <c r="AL29" s="39"/>
      <c r="AM29" s="67"/>
      <c r="AN29" s="67"/>
      <c r="AO29" s="39"/>
      <c r="AP29" s="39"/>
      <c r="AQ29" s="67"/>
      <c r="AR29" s="67"/>
      <c r="AS29" s="39"/>
      <c r="AT29" s="39"/>
      <c r="AU29" s="67"/>
      <c r="AV29" s="67"/>
      <c r="AW29" s="39"/>
      <c r="AX29" s="39"/>
      <c r="AY29" s="67"/>
      <c r="AZ29" s="67"/>
      <c r="BA29" s="47" t="s">
        <v>218</v>
      </c>
      <c r="BB29" s="42">
        <v>30</v>
      </c>
      <c r="BC29" s="69">
        <f>BB29/BB30*100%</f>
        <v>0.75</v>
      </c>
      <c r="BD29" s="71" t="str">
        <f>IF(BC29&gt;=80%,"SI CUMPLE","NO CUMPLE")</f>
        <v>NO CUMPLE</v>
      </c>
    </row>
    <row r="30" spans="1:56" ht="61" customHeight="1" x14ac:dyDescent="0.35">
      <c r="A30" s="77"/>
      <c r="B30" s="74"/>
      <c r="C30" s="75"/>
      <c r="D30" s="74"/>
      <c r="E30" s="74"/>
      <c r="F30" s="76"/>
      <c r="G30" s="74"/>
      <c r="H30" s="74"/>
      <c r="I30" s="38"/>
      <c r="J30" s="38"/>
      <c r="K30" s="68"/>
      <c r="L30" s="68"/>
      <c r="M30" s="40"/>
      <c r="N30" s="40"/>
      <c r="O30" s="68"/>
      <c r="P30" s="68"/>
      <c r="Q30" s="40"/>
      <c r="R30" s="40"/>
      <c r="S30" s="68"/>
      <c r="T30" s="68"/>
      <c r="U30" s="40"/>
      <c r="V30" s="40"/>
      <c r="W30" s="68"/>
      <c r="X30" s="68"/>
      <c r="Y30" s="40"/>
      <c r="Z30" s="40"/>
      <c r="AA30" s="68"/>
      <c r="AB30" s="68"/>
      <c r="AC30" s="40"/>
      <c r="AD30" s="40"/>
      <c r="AE30" s="68"/>
      <c r="AF30" s="68"/>
      <c r="AG30" s="40"/>
      <c r="AH30" s="40"/>
      <c r="AI30" s="68"/>
      <c r="AJ30" s="68"/>
      <c r="AK30" s="40"/>
      <c r="AL30" s="40"/>
      <c r="AM30" s="68"/>
      <c r="AN30" s="68"/>
      <c r="AO30" s="40"/>
      <c r="AP30" s="40"/>
      <c r="AQ30" s="68"/>
      <c r="AR30" s="68"/>
      <c r="AS30" s="40"/>
      <c r="AT30" s="40"/>
      <c r="AU30" s="68"/>
      <c r="AV30" s="68"/>
      <c r="AW30" s="40"/>
      <c r="AX30" s="40"/>
      <c r="AY30" s="68"/>
      <c r="AZ30" s="68"/>
      <c r="BA30" s="47" t="s">
        <v>219</v>
      </c>
      <c r="BB30" s="43">
        <v>40</v>
      </c>
      <c r="BC30" s="70"/>
      <c r="BD30" s="72"/>
    </row>
    <row r="31" spans="1:56" ht="61" customHeight="1" x14ac:dyDescent="0.35">
      <c r="A31" s="77" t="s">
        <v>14</v>
      </c>
      <c r="B31" s="74" t="s">
        <v>220</v>
      </c>
      <c r="C31" s="75">
        <v>1</v>
      </c>
      <c r="D31" s="74" t="s">
        <v>226</v>
      </c>
      <c r="E31" s="74" t="s">
        <v>221</v>
      </c>
      <c r="F31" s="76" t="s">
        <v>7</v>
      </c>
      <c r="G31" s="74" t="s">
        <v>60</v>
      </c>
      <c r="H31" s="74" t="s">
        <v>56</v>
      </c>
      <c r="I31" s="38"/>
      <c r="J31" s="38"/>
      <c r="K31" s="67"/>
      <c r="L31" s="67"/>
      <c r="M31" s="39"/>
      <c r="N31" s="39"/>
      <c r="O31" s="67"/>
      <c r="P31" s="67"/>
      <c r="Q31" s="39"/>
      <c r="R31" s="39"/>
      <c r="S31" s="67"/>
      <c r="T31" s="67"/>
      <c r="U31" s="39"/>
      <c r="V31" s="39"/>
      <c r="W31" s="67"/>
      <c r="X31" s="67"/>
      <c r="Y31" s="39"/>
      <c r="Z31" s="39"/>
      <c r="AA31" s="67"/>
      <c r="AB31" s="67"/>
      <c r="AC31" s="39"/>
      <c r="AD31" s="39"/>
      <c r="AE31" s="67"/>
      <c r="AF31" s="67"/>
      <c r="AG31" s="39"/>
      <c r="AH31" s="39"/>
      <c r="AI31" s="67"/>
      <c r="AJ31" s="67"/>
      <c r="AK31" s="39"/>
      <c r="AL31" s="39"/>
      <c r="AM31" s="67"/>
      <c r="AN31" s="67"/>
      <c r="AO31" s="39"/>
      <c r="AP31" s="39"/>
      <c r="AQ31" s="67"/>
      <c r="AR31" s="67"/>
      <c r="AS31" s="39"/>
      <c r="AT31" s="39"/>
      <c r="AU31" s="67"/>
      <c r="AV31" s="67"/>
      <c r="AW31" s="39"/>
      <c r="AX31" s="39"/>
      <c r="AY31" s="67"/>
      <c r="AZ31" s="67"/>
      <c r="BA31" s="47" t="s">
        <v>225</v>
      </c>
      <c r="BB31" s="42">
        <v>50</v>
      </c>
      <c r="BC31" s="69">
        <f>BB31/BB32*100%</f>
        <v>1</v>
      </c>
      <c r="BD31" s="71" t="str">
        <f>IF(BC31=100%,"SI CUMPLE","NO CUMPLE")</f>
        <v>SI CUMPLE</v>
      </c>
    </row>
    <row r="32" spans="1:56" ht="61" customHeight="1" x14ac:dyDescent="0.35">
      <c r="A32" s="77"/>
      <c r="B32" s="74"/>
      <c r="C32" s="75"/>
      <c r="D32" s="74"/>
      <c r="E32" s="74"/>
      <c r="F32" s="76"/>
      <c r="G32" s="74"/>
      <c r="H32" s="74"/>
      <c r="I32" s="38"/>
      <c r="J32" s="38"/>
      <c r="K32" s="68"/>
      <c r="L32" s="68"/>
      <c r="M32" s="40"/>
      <c r="N32" s="40"/>
      <c r="O32" s="68"/>
      <c r="P32" s="68"/>
      <c r="Q32" s="40"/>
      <c r="R32" s="40"/>
      <c r="S32" s="68"/>
      <c r="T32" s="68"/>
      <c r="U32" s="40"/>
      <c r="V32" s="40"/>
      <c r="W32" s="68"/>
      <c r="X32" s="68"/>
      <c r="Y32" s="40"/>
      <c r="Z32" s="40"/>
      <c r="AA32" s="68"/>
      <c r="AB32" s="68"/>
      <c r="AC32" s="40"/>
      <c r="AD32" s="40"/>
      <c r="AE32" s="68"/>
      <c r="AF32" s="68"/>
      <c r="AG32" s="40"/>
      <c r="AH32" s="40"/>
      <c r="AI32" s="68"/>
      <c r="AJ32" s="68"/>
      <c r="AK32" s="40"/>
      <c r="AL32" s="40"/>
      <c r="AM32" s="68"/>
      <c r="AN32" s="68"/>
      <c r="AO32" s="40"/>
      <c r="AP32" s="40"/>
      <c r="AQ32" s="68"/>
      <c r="AR32" s="68"/>
      <c r="AS32" s="40"/>
      <c r="AT32" s="40"/>
      <c r="AU32" s="68"/>
      <c r="AV32" s="68"/>
      <c r="AW32" s="40"/>
      <c r="AX32" s="40"/>
      <c r="AY32" s="68"/>
      <c r="AZ32" s="68"/>
      <c r="BA32" s="47" t="s">
        <v>227</v>
      </c>
      <c r="BB32" s="43">
        <v>50</v>
      </c>
      <c r="BC32" s="70"/>
      <c r="BD32" s="72"/>
    </row>
    <row r="33" spans="1:56" ht="61" customHeight="1" x14ac:dyDescent="0.35">
      <c r="A33" s="77"/>
      <c r="B33" s="74"/>
      <c r="C33" s="75">
        <v>1</v>
      </c>
      <c r="D33" s="74" t="s">
        <v>229</v>
      </c>
      <c r="E33" s="74" t="s">
        <v>224</v>
      </c>
      <c r="F33" s="76" t="s">
        <v>7</v>
      </c>
      <c r="G33" s="74" t="s">
        <v>60</v>
      </c>
      <c r="H33" s="74" t="s">
        <v>56</v>
      </c>
      <c r="I33" s="38"/>
      <c r="J33" s="38"/>
      <c r="K33" s="67"/>
      <c r="L33" s="67"/>
      <c r="M33" s="39"/>
      <c r="N33" s="39"/>
      <c r="O33" s="67"/>
      <c r="P33" s="67"/>
      <c r="Q33" s="39"/>
      <c r="R33" s="39"/>
      <c r="S33" s="67"/>
      <c r="T33" s="67"/>
      <c r="U33" s="39"/>
      <c r="V33" s="39"/>
      <c r="W33" s="67"/>
      <c r="X33" s="67"/>
      <c r="Y33" s="39"/>
      <c r="Z33" s="39"/>
      <c r="AA33" s="67"/>
      <c r="AB33" s="67"/>
      <c r="AC33" s="39"/>
      <c r="AD33" s="39"/>
      <c r="AE33" s="67"/>
      <c r="AF33" s="67"/>
      <c r="AG33" s="39"/>
      <c r="AH33" s="39"/>
      <c r="AI33" s="67"/>
      <c r="AJ33" s="67"/>
      <c r="AK33" s="39"/>
      <c r="AL33" s="39"/>
      <c r="AM33" s="67"/>
      <c r="AN33" s="67"/>
      <c r="AO33" s="39"/>
      <c r="AP33" s="39"/>
      <c r="AQ33" s="67"/>
      <c r="AR33" s="67"/>
      <c r="AS33" s="39"/>
      <c r="AT33" s="39"/>
      <c r="AU33" s="67"/>
      <c r="AV33" s="67"/>
      <c r="AW33" s="39"/>
      <c r="AX33" s="39"/>
      <c r="AY33" s="67"/>
      <c r="AZ33" s="67"/>
      <c r="BA33" s="47" t="s">
        <v>228</v>
      </c>
      <c r="BB33" s="42">
        <v>50</v>
      </c>
      <c r="BC33" s="69">
        <f>BB33/BB34*100%</f>
        <v>1</v>
      </c>
      <c r="BD33" s="71" t="str">
        <f>IF(BC33=100%,"SI CUMPLE","NO CUMPLE")</f>
        <v>SI CUMPLE</v>
      </c>
    </row>
    <row r="34" spans="1:56" ht="61" customHeight="1" x14ac:dyDescent="0.35">
      <c r="A34" s="77"/>
      <c r="B34" s="74"/>
      <c r="C34" s="75"/>
      <c r="D34" s="74"/>
      <c r="E34" s="74"/>
      <c r="F34" s="76"/>
      <c r="G34" s="74"/>
      <c r="H34" s="74"/>
      <c r="I34" s="38"/>
      <c r="J34" s="38"/>
      <c r="K34" s="68"/>
      <c r="L34" s="68"/>
      <c r="M34" s="40"/>
      <c r="N34" s="40"/>
      <c r="O34" s="68"/>
      <c r="P34" s="68"/>
      <c r="Q34" s="40"/>
      <c r="R34" s="40"/>
      <c r="S34" s="68"/>
      <c r="T34" s="68"/>
      <c r="U34" s="40"/>
      <c r="V34" s="40"/>
      <c r="W34" s="68"/>
      <c r="X34" s="68"/>
      <c r="Y34" s="40"/>
      <c r="Z34" s="40"/>
      <c r="AA34" s="68"/>
      <c r="AB34" s="68"/>
      <c r="AC34" s="40"/>
      <c r="AD34" s="40"/>
      <c r="AE34" s="68"/>
      <c r="AF34" s="68"/>
      <c r="AG34" s="40"/>
      <c r="AH34" s="40"/>
      <c r="AI34" s="68"/>
      <c r="AJ34" s="68"/>
      <c r="AK34" s="40"/>
      <c r="AL34" s="40"/>
      <c r="AM34" s="68"/>
      <c r="AN34" s="68"/>
      <c r="AO34" s="40"/>
      <c r="AP34" s="40"/>
      <c r="AQ34" s="68"/>
      <c r="AR34" s="68"/>
      <c r="AS34" s="40"/>
      <c r="AT34" s="40"/>
      <c r="AU34" s="68"/>
      <c r="AV34" s="68"/>
      <c r="AW34" s="40"/>
      <c r="AX34" s="40"/>
      <c r="AY34" s="68"/>
      <c r="AZ34" s="68"/>
      <c r="BA34" s="47" t="s">
        <v>230</v>
      </c>
      <c r="BB34" s="43">
        <v>50</v>
      </c>
      <c r="BC34" s="70"/>
      <c r="BD34" s="72"/>
    </row>
    <row r="35" spans="1:56" ht="61" customHeight="1" x14ac:dyDescent="0.35">
      <c r="A35" s="77"/>
      <c r="B35" s="74"/>
      <c r="C35" s="75">
        <v>1</v>
      </c>
      <c r="D35" s="74" t="s">
        <v>223</v>
      </c>
      <c r="E35" s="74" t="s">
        <v>222</v>
      </c>
      <c r="F35" s="76" t="s">
        <v>7</v>
      </c>
      <c r="G35" s="74" t="s">
        <v>60</v>
      </c>
      <c r="H35" s="74" t="s">
        <v>56</v>
      </c>
      <c r="I35" s="38"/>
      <c r="J35" s="38"/>
      <c r="K35" s="67"/>
      <c r="L35" s="67"/>
      <c r="M35" s="39"/>
      <c r="N35" s="39"/>
      <c r="O35" s="67"/>
      <c r="P35" s="67"/>
      <c r="Q35" s="39"/>
      <c r="R35" s="39"/>
      <c r="S35" s="67"/>
      <c r="T35" s="67"/>
      <c r="U35" s="39"/>
      <c r="V35" s="39"/>
      <c r="W35" s="67"/>
      <c r="X35" s="67"/>
      <c r="Y35" s="39"/>
      <c r="Z35" s="39"/>
      <c r="AA35" s="67"/>
      <c r="AB35" s="67"/>
      <c r="AC35" s="39"/>
      <c r="AD35" s="39"/>
      <c r="AE35" s="67"/>
      <c r="AF35" s="67"/>
      <c r="AG35" s="39"/>
      <c r="AH35" s="39"/>
      <c r="AI35" s="67"/>
      <c r="AJ35" s="67"/>
      <c r="AK35" s="39"/>
      <c r="AL35" s="39"/>
      <c r="AM35" s="67"/>
      <c r="AN35" s="67"/>
      <c r="AO35" s="39"/>
      <c r="AP35" s="39"/>
      <c r="AQ35" s="67"/>
      <c r="AR35" s="67"/>
      <c r="AS35" s="39"/>
      <c r="AT35" s="39"/>
      <c r="AU35" s="67"/>
      <c r="AV35" s="67"/>
      <c r="AW35" s="39"/>
      <c r="AX35" s="39"/>
      <c r="AY35" s="67"/>
      <c r="AZ35" s="67"/>
      <c r="BA35" s="47" t="s">
        <v>231</v>
      </c>
      <c r="BB35" s="42">
        <v>5</v>
      </c>
      <c r="BC35" s="69">
        <f>BB35/BB36*100%</f>
        <v>0.7142857142857143</v>
      </c>
      <c r="BD35" s="71" t="str">
        <f>IF(BC35=100%,"SI CUMPLE","NO CUMPLE")</f>
        <v>NO CUMPLE</v>
      </c>
    </row>
    <row r="36" spans="1:56" ht="61" customHeight="1" x14ac:dyDescent="0.35">
      <c r="A36" s="77"/>
      <c r="B36" s="74"/>
      <c r="C36" s="75"/>
      <c r="D36" s="74"/>
      <c r="E36" s="74"/>
      <c r="F36" s="76"/>
      <c r="G36" s="74"/>
      <c r="H36" s="74"/>
      <c r="I36" s="38"/>
      <c r="J36" s="38"/>
      <c r="K36" s="68"/>
      <c r="L36" s="68"/>
      <c r="M36" s="40"/>
      <c r="N36" s="40"/>
      <c r="O36" s="68"/>
      <c r="P36" s="68"/>
      <c r="Q36" s="40"/>
      <c r="R36" s="40"/>
      <c r="S36" s="68"/>
      <c r="T36" s="68"/>
      <c r="U36" s="40"/>
      <c r="V36" s="40"/>
      <c r="W36" s="68"/>
      <c r="X36" s="68"/>
      <c r="Y36" s="40"/>
      <c r="Z36" s="40"/>
      <c r="AA36" s="68"/>
      <c r="AB36" s="68"/>
      <c r="AC36" s="40"/>
      <c r="AD36" s="40"/>
      <c r="AE36" s="68"/>
      <c r="AF36" s="68"/>
      <c r="AG36" s="40"/>
      <c r="AH36" s="40"/>
      <c r="AI36" s="68"/>
      <c r="AJ36" s="68"/>
      <c r="AK36" s="40"/>
      <c r="AL36" s="40"/>
      <c r="AM36" s="68"/>
      <c r="AN36" s="68"/>
      <c r="AO36" s="40"/>
      <c r="AP36" s="40"/>
      <c r="AQ36" s="68"/>
      <c r="AR36" s="68"/>
      <c r="AS36" s="40"/>
      <c r="AT36" s="40"/>
      <c r="AU36" s="68"/>
      <c r="AV36" s="68"/>
      <c r="AW36" s="40"/>
      <c r="AX36" s="40"/>
      <c r="AY36" s="68"/>
      <c r="AZ36" s="68"/>
      <c r="BA36" s="47" t="s">
        <v>232</v>
      </c>
      <c r="BB36" s="43">
        <v>7</v>
      </c>
      <c r="BC36" s="70"/>
      <c r="BD36" s="72"/>
    </row>
    <row r="37" spans="1:56" ht="61" customHeight="1" x14ac:dyDescent="0.35">
      <c r="A37" s="77" t="s">
        <v>15</v>
      </c>
      <c r="B37" s="74" t="s">
        <v>66</v>
      </c>
      <c r="C37" s="75">
        <v>0.8</v>
      </c>
      <c r="D37" s="74" t="s">
        <v>236</v>
      </c>
      <c r="E37" s="74" t="s">
        <v>233</v>
      </c>
      <c r="F37" s="76" t="s">
        <v>7</v>
      </c>
      <c r="G37" s="74" t="s">
        <v>60</v>
      </c>
      <c r="H37" s="74" t="s">
        <v>56</v>
      </c>
      <c r="I37" s="38"/>
      <c r="J37" s="38"/>
      <c r="K37" s="67"/>
      <c r="L37" s="67"/>
      <c r="M37" s="39"/>
      <c r="N37" s="39"/>
      <c r="O37" s="67"/>
      <c r="P37" s="67"/>
      <c r="Q37" s="39"/>
      <c r="R37" s="39"/>
      <c r="S37" s="67"/>
      <c r="T37" s="67"/>
      <c r="U37" s="39"/>
      <c r="V37" s="39"/>
      <c r="W37" s="67"/>
      <c r="X37" s="67"/>
      <c r="Y37" s="39"/>
      <c r="Z37" s="39"/>
      <c r="AA37" s="67"/>
      <c r="AB37" s="67"/>
      <c r="AC37" s="39"/>
      <c r="AD37" s="39"/>
      <c r="AE37" s="67"/>
      <c r="AF37" s="67"/>
      <c r="AG37" s="39"/>
      <c r="AH37" s="39"/>
      <c r="AI37" s="67"/>
      <c r="AJ37" s="67"/>
      <c r="AK37" s="39"/>
      <c r="AL37" s="39"/>
      <c r="AM37" s="67"/>
      <c r="AN37" s="67"/>
      <c r="AO37" s="39"/>
      <c r="AP37" s="39"/>
      <c r="AQ37" s="67"/>
      <c r="AR37" s="67"/>
      <c r="AS37" s="39"/>
      <c r="AT37" s="39"/>
      <c r="AU37" s="67"/>
      <c r="AV37" s="67"/>
      <c r="AW37" s="39"/>
      <c r="AX37" s="39"/>
      <c r="AY37" s="67"/>
      <c r="AZ37" s="67"/>
      <c r="BA37" s="47" t="s">
        <v>235</v>
      </c>
      <c r="BB37" s="42">
        <v>16</v>
      </c>
      <c r="BC37" s="69">
        <f>BB37/BB38*100%</f>
        <v>0.8</v>
      </c>
      <c r="BD37" s="71" t="str">
        <f>IF(BC37&gt;=80%,"SI CUMPLE","NO CUMPLE")</f>
        <v>SI CUMPLE</v>
      </c>
    </row>
    <row r="38" spans="1:56" ht="61" customHeight="1" x14ac:dyDescent="0.35">
      <c r="A38" s="77"/>
      <c r="B38" s="74"/>
      <c r="C38" s="75"/>
      <c r="D38" s="74"/>
      <c r="E38" s="74"/>
      <c r="F38" s="76"/>
      <c r="G38" s="74"/>
      <c r="H38" s="74"/>
      <c r="I38" s="38"/>
      <c r="J38" s="38"/>
      <c r="K38" s="68"/>
      <c r="L38" s="68"/>
      <c r="M38" s="40"/>
      <c r="N38" s="40"/>
      <c r="O38" s="68"/>
      <c r="P38" s="68"/>
      <c r="Q38" s="40"/>
      <c r="R38" s="40"/>
      <c r="S38" s="68"/>
      <c r="T38" s="68"/>
      <c r="U38" s="40"/>
      <c r="V38" s="40"/>
      <c r="W38" s="68"/>
      <c r="X38" s="68"/>
      <c r="Y38" s="40"/>
      <c r="Z38" s="40"/>
      <c r="AA38" s="68"/>
      <c r="AB38" s="68"/>
      <c r="AC38" s="40"/>
      <c r="AD38" s="40"/>
      <c r="AE38" s="68"/>
      <c r="AF38" s="68"/>
      <c r="AG38" s="40"/>
      <c r="AH38" s="40"/>
      <c r="AI38" s="68"/>
      <c r="AJ38" s="68"/>
      <c r="AK38" s="40"/>
      <c r="AL38" s="40"/>
      <c r="AM38" s="68"/>
      <c r="AN38" s="68"/>
      <c r="AO38" s="40"/>
      <c r="AP38" s="40"/>
      <c r="AQ38" s="68"/>
      <c r="AR38" s="68"/>
      <c r="AS38" s="40"/>
      <c r="AT38" s="40"/>
      <c r="AU38" s="68"/>
      <c r="AV38" s="68"/>
      <c r="AW38" s="40"/>
      <c r="AX38" s="40"/>
      <c r="AY38" s="68"/>
      <c r="AZ38" s="68"/>
      <c r="BA38" s="47" t="s">
        <v>234</v>
      </c>
      <c r="BB38" s="43">
        <v>20</v>
      </c>
      <c r="BC38" s="70"/>
      <c r="BD38" s="72"/>
    </row>
    <row r="39" spans="1:56" ht="61" customHeight="1" x14ac:dyDescent="0.35">
      <c r="A39" s="77" t="s">
        <v>38</v>
      </c>
      <c r="B39" s="74" t="s">
        <v>239</v>
      </c>
      <c r="C39" s="75">
        <v>1</v>
      </c>
      <c r="D39" s="74" t="s">
        <v>238</v>
      </c>
      <c r="E39" s="74" t="s">
        <v>237</v>
      </c>
      <c r="F39" s="76" t="s">
        <v>7</v>
      </c>
      <c r="G39" s="74" t="s">
        <v>60</v>
      </c>
      <c r="H39" s="74" t="s">
        <v>56</v>
      </c>
      <c r="I39" s="38"/>
      <c r="J39" s="38"/>
      <c r="K39" s="67"/>
      <c r="L39" s="67"/>
      <c r="M39" s="39"/>
      <c r="N39" s="39"/>
      <c r="O39" s="67"/>
      <c r="P39" s="67"/>
      <c r="Q39" s="39"/>
      <c r="R39" s="39"/>
      <c r="S39" s="67"/>
      <c r="T39" s="67"/>
      <c r="U39" s="39"/>
      <c r="V39" s="39"/>
      <c r="W39" s="67"/>
      <c r="X39" s="67"/>
      <c r="Y39" s="39"/>
      <c r="Z39" s="39"/>
      <c r="AA39" s="67"/>
      <c r="AB39" s="67"/>
      <c r="AC39" s="39"/>
      <c r="AD39" s="39"/>
      <c r="AE39" s="67"/>
      <c r="AF39" s="67"/>
      <c r="AG39" s="39"/>
      <c r="AH39" s="39"/>
      <c r="AI39" s="67"/>
      <c r="AJ39" s="67"/>
      <c r="AK39" s="39"/>
      <c r="AL39" s="39"/>
      <c r="AM39" s="67"/>
      <c r="AN39" s="67"/>
      <c r="AO39" s="39"/>
      <c r="AP39" s="39"/>
      <c r="AQ39" s="67"/>
      <c r="AR39" s="67"/>
      <c r="AS39" s="39"/>
      <c r="AT39" s="39"/>
      <c r="AU39" s="67"/>
      <c r="AV39" s="67"/>
      <c r="AW39" s="39"/>
      <c r="AX39" s="39"/>
      <c r="AY39" s="67"/>
      <c r="AZ39" s="67"/>
      <c r="BA39" s="47" t="s">
        <v>240</v>
      </c>
      <c r="BB39" s="42">
        <v>2</v>
      </c>
      <c r="BC39" s="69">
        <f>BB39/BB40*100%</f>
        <v>0.66666666666666663</v>
      </c>
      <c r="BD39" s="71" t="str">
        <f>IF(BC39=100%,"SI CUMPLE","NO CUMPLE")</f>
        <v>NO CUMPLE</v>
      </c>
    </row>
    <row r="40" spans="1:56" ht="61" customHeight="1" x14ac:dyDescent="0.35">
      <c r="A40" s="77"/>
      <c r="B40" s="74"/>
      <c r="C40" s="75"/>
      <c r="D40" s="74"/>
      <c r="E40" s="74"/>
      <c r="F40" s="76"/>
      <c r="G40" s="74"/>
      <c r="H40" s="74"/>
      <c r="I40" s="38"/>
      <c r="J40" s="38"/>
      <c r="K40" s="68"/>
      <c r="L40" s="68"/>
      <c r="M40" s="40"/>
      <c r="N40" s="40"/>
      <c r="O40" s="68"/>
      <c r="P40" s="68"/>
      <c r="Q40" s="40"/>
      <c r="R40" s="40"/>
      <c r="S40" s="68"/>
      <c r="T40" s="68"/>
      <c r="U40" s="40"/>
      <c r="V40" s="40"/>
      <c r="W40" s="68"/>
      <c r="X40" s="68"/>
      <c r="Y40" s="40"/>
      <c r="Z40" s="40"/>
      <c r="AA40" s="68"/>
      <c r="AB40" s="68"/>
      <c r="AC40" s="40"/>
      <c r="AD40" s="40"/>
      <c r="AE40" s="68"/>
      <c r="AF40" s="68"/>
      <c r="AG40" s="40"/>
      <c r="AH40" s="40"/>
      <c r="AI40" s="68"/>
      <c r="AJ40" s="68"/>
      <c r="AK40" s="40"/>
      <c r="AL40" s="40"/>
      <c r="AM40" s="68"/>
      <c r="AN40" s="68"/>
      <c r="AO40" s="40"/>
      <c r="AP40" s="40"/>
      <c r="AQ40" s="68"/>
      <c r="AR40" s="68"/>
      <c r="AS40" s="40"/>
      <c r="AT40" s="40"/>
      <c r="AU40" s="68"/>
      <c r="AV40" s="68"/>
      <c r="AW40" s="40"/>
      <c r="AX40" s="40"/>
      <c r="AY40" s="68"/>
      <c r="AZ40" s="68"/>
      <c r="BA40" s="47" t="s">
        <v>241</v>
      </c>
      <c r="BB40" s="43">
        <v>3</v>
      </c>
      <c r="BC40" s="70"/>
      <c r="BD40" s="72"/>
    </row>
    <row r="41" spans="1:56" ht="61" customHeight="1" x14ac:dyDescent="0.35">
      <c r="A41" s="77" t="s">
        <v>16</v>
      </c>
      <c r="B41" s="74" t="s">
        <v>242</v>
      </c>
      <c r="C41" s="75">
        <v>1</v>
      </c>
      <c r="D41" s="74" t="s">
        <v>243</v>
      </c>
      <c r="E41" s="74" t="s">
        <v>244</v>
      </c>
      <c r="F41" s="76" t="s">
        <v>7</v>
      </c>
      <c r="G41" s="74" t="s">
        <v>60</v>
      </c>
      <c r="H41" s="74" t="s">
        <v>56</v>
      </c>
      <c r="I41" s="38"/>
      <c r="J41" s="38"/>
      <c r="K41" s="67"/>
      <c r="L41" s="67"/>
      <c r="M41" s="39"/>
      <c r="N41" s="39"/>
      <c r="O41" s="67"/>
      <c r="P41" s="67"/>
      <c r="Q41" s="39"/>
      <c r="R41" s="39"/>
      <c r="S41" s="67"/>
      <c r="T41" s="67"/>
      <c r="U41" s="39"/>
      <c r="V41" s="39"/>
      <c r="W41" s="67"/>
      <c r="X41" s="67"/>
      <c r="Y41" s="39"/>
      <c r="Z41" s="39"/>
      <c r="AA41" s="67"/>
      <c r="AB41" s="67"/>
      <c r="AC41" s="39"/>
      <c r="AD41" s="39"/>
      <c r="AE41" s="67"/>
      <c r="AF41" s="67"/>
      <c r="AG41" s="39"/>
      <c r="AH41" s="39"/>
      <c r="AI41" s="67"/>
      <c r="AJ41" s="67"/>
      <c r="AK41" s="39"/>
      <c r="AL41" s="39"/>
      <c r="AM41" s="67"/>
      <c r="AN41" s="67"/>
      <c r="AO41" s="39"/>
      <c r="AP41" s="39"/>
      <c r="AQ41" s="67"/>
      <c r="AR41" s="67"/>
      <c r="AS41" s="39"/>
      <c r="AT41" s="39"/>
      <c r="AU41" s="67"/>
      <c r="AV41" s="67"/>
      <c r="AW41" s="39"/>
      <c r="AX41" s="39"/>
      <c r="AY41" s="67"/>
      <c r="AZ41" s="67"/>
      <c r="BA41" s="47" t="s">
        <v>245</v>
      </c>
      <c r="BB41" s="42">
        <v>1</v>
      </c>
      <c r="BC41" s="69">
        <f>BB41/BB42*100%</f>
        <v>0.5</v>
      </c>
      <c r="BD41" s="71" t="str">
        <f>IF(BC41=100%,"SI CUMPLE","NO CUMPLE")</f>
        <v>NO CUMPLE</v>
      </c>
    </row>
    <row r="42" spans="1:56" ht="61" customHeight="1" x14ac:dyDescent="0.35">
      <c r="A42" s="77"/>
      <c r="B42" s="74"/>
      <c r="C42" s="75"/>
      <c r="D42" s="74"/>
      <c r="E42" s="74"/>
      <c r="F42" s="76"/>
      <c r="G42" s="74"/>
      <c r="H42" s="74"/>
      <c r="I42" s="38"/>
      <c r="J42" s="38"/>
      <c r="K42" s="68"/>
      <c r="L42" s="68"/>
      <c r="M42" s="40"/>
      <c r="N42" s="40"/>
      <c r="O42" s="68"/>
      <c r="P42" s="68"/>
      <c r="Q42" s="40"/>
      <c r="R42" s="40"/>
      <c r="S42" s="68"/>
      <c r="T42" s="68"/>
      <c r="U42" s="40"/>
      <c r="V42" s="40"/>
      <c r="W42" s="68"/>
      <c r="X42" s="68"/>
      <c r="Y42" s="40"/>
      <c r="Z42" s="40"/>
      <c r="AA42" s="68"/>
      <c r="AB42" s="68"/>
      <c r="AC42" s="40"/>
      <c r="AD42" s="40"/>
      <c r="AE42" s="68"/>
      <c r="AF42" s="68"/>
      <c r="AG42" s="40"/>
      <c r="AH42" s="40"/>
      <c r="AI42" s="68"/>
      <c r="AJ42" s="68"/>
      <c r="AK42" s="40"/>
      <c r="AL42" s="40"/>
      <c r="AM42" s="68"/>
      <c r="AN42" s="68"/>
      <c r="AO42" s="40"/>
      <c r="AP42" s="40"/>
      <c r="AQ42" s="68"/>
      <c r="AR42" s="68"/>
      <c r="AS42" s="40"/>
      <c r="AT42" s="40"/>
      <c r="AU42" s="68"/>
      <c r="AV42" s="68"/>
      <c r="AW42" s="40"/>
      <c r="AX42" s="40"/>
      <c r="AY42" s="68"/>
      <c r="AZ42" s="68"/>
      <c r="BA42" s="47" t="s">
        <v>246</v>
      </c>
      <c r="BB42" s="43">
        <v>2</v>
      </c>
      <c r="BC42" s="70"/>
      <c r="BD42" s="72"/>
    </row>
    <row r="43" spans="1:56" ht="61" customHeight="1" x14ac:dyDescent="0.35">
      <c r="A43" s="77" t="s">
        <v>39</v>
      </c>
      <c r="B43" s="74" t="s">
        <v>40</v>
      </c>
      <c r="C43" s="84">
        <v>1</v>
      </c>
      <c r="D43" s="80" t="s">
        <v>257</v>
      </c>
      <c r="E43" s="80" t="s">
        <v>259</v>
      </c>
      <c r="F43" s="82" t="s">
        <v>7</v>
      </c>
      <c r="G43" s="74" t="s">
        <v>60</v>
      </c>
      <c r="H43" s="74" t="s">
        <v>56</v>
      </c>
      <c r="I43" s="38"/>
      <c r="J43" s="58"/>
      <c r="K43" s="65"/>
      <c r="L43" s="67"/>
      <c r="M43" s="38"/>
      <c r="N43" s="58"/>
      <c r="O43" s="65"/>
      <c r="P43" s="67"/>
      <c r="Q43" s="38"/>
      <c r="R43" s="58"/>
      <c r="S43" s="65"/>
      <c r="T43" s="67"/>
      <c r="U43" s="38"/>
      <c r="V43" s="58"/>
      <c r="W43" s="65"/>
      <c r="X43" s="67"/>
      <c r="Y43" s="38"/>
      <c r="Z43" s="58"/>
      <c r="AA43" s="65"/>
      <c r="AB43" s="67"/>
      <c r="AC43" s="38"/>
      <c r="AD43" s="58"/>
      <c r="AE43" s="65"/>
      <c r="AF43" s="67"/>
      <c r="AG43" s="38"/>
      <c r="AH43" s="58"/>
      <c r="AI43" s="65"/>
      <c r="AJ43" s="67"/>
      <c r="AK43" s="38"/>
      <c r="AL43" s="58"/>
      <c r="AM43" s="65"/>
      <c r="AN43" s="67"/>
      <c r="AO43" s="38"/>
      <c r="AP43" s="58"/>
      <c r="AQ43" s="65"/>
      <c r="AR43" s="67"/>
      <c r="AS43" s="38"/>
      <c r="AT43" s="58"/>
      <c r="AU43" s="65"/>
      <c r="AV43" s="67"/>
      <c r="AW43" s="38"/>
      <c r="AX43" s="58"/>
      <c r="AY43" s="65"/>
      <c r="AZ43" s="67"/>
      <c r="BA43" s="47" t="s">
        <v>260</v>
      </c>
      <c r="BB43" s="42">
        <v>2</v>
      </c>
      <c r="BC43" s="69">
        <f>BB43/BB44*100%</f>
        <v>1</v>
      </c>
      <c r="BD43" s="71" t="str">
        <f>IF(BC43=100%,"SI CUMPLE","NO CUMPLE")</f>
        <v>SI CUMPLE</v>
      </c>
    </row>
    <row r="44" spans="1:56" ht="61" customHeight="1" x14ac:dyDescent="0.35">
      <c r="A44" s="77"/>
      <c r="B44" s="74"/>
      <c r="C44" s="85"/>
      <c r="D44" s="81"/>
      <c r="E44" s="81"/>
      <c r="F44" s="83"/>
      <c r="G44" s="74"/>
      <c r="H44" s="74"/>
      <c r="I44" s="38"/>
      <c r="J44" s="58"/>
      <c r="K44" s="66"/>
      <c r="L44" s="68"/>
      <c r="M44" s="38"/>
      <c r="N44" s="58"/>
      <c r="O44" s="66"/>
      <c r="P44" s="68"/>
      <c r="Q44" s="38"/>
      <c r="R44" s="58"/>
      <c r="S44" s="66"/>
      <c r="T44" s="68"/>
      <c r="U44" s="38"/>
      <c r="V44" s="58"/>
      <c r="W44" s="66"/>
      <c r="X44" s="68"/>
      <c r="Y44" s="38"/>
      <c r="Z44" s="58"/>
      <c r="AA44" s="66"/>
      <c r="AB44" s="68"/>
      <c r="AC44" s="38"/>
      <c r="AD44" s="58"/>
      <c r="AE44" s="66"/>
      <c r="AF44" s="68"/>
      <c r="AG44" s="38"/>
      <c r="AH44" s="58"/>
      <c r="AI44" s="66"/>
      <c r="AJ44" s="68"/>
      <c r="AK44" s="38"/>
      <c r="AL44" s="58"/>
      <c r="AM44" s="66"/>
      <c r="AN44" s="68"/>
      <c r="AO44" s="38"/>
      <c r="AP44" s="58"/>
      <c r="AQ44" s="66"/>
      <c r="AR44" s="68"/>
      <c r="AS44" s="38"/>
      <c r="AT44" s="58"/>
      <c r="AU44" s="66"/>
      <c r="AV44" s="68"/>
      <c r="AW44" s="38"/>
      <c r="AX44" s="58"/>
      <c r="AY44" s="66"/>
      <c r="AZ44" s="68"/>
      <c r="BA44" s="47" t="s">
        <v>248</v>
      </c>
      <c r="BB44" s="43">
        <v>2</v>
      </c>
      <c r="BC44" s="70"/>
      <c r="BD44" s="72"/>
    </row>
    <row r="45" spans="1:56" ht="61" customHeight="1" x14ac:dyDescent="0.35">
      <c r="A45" s="77"/>
      <c r="B45" s="74"/>
      <c r="C45" s="84">
        <v>1</v>
      </c>
      <c r="D45" s="80" t="s">
        <v>256</v>
      </c>
      <c r="E45" s="80" t="s">
        <v>258</v>
      </c>
      <c r="F45" s="82" t="s">
        <v>13</v>
      </c>
      <c r="G45" s="74" t="s">
        <v>60</v>
      </c>
      <c r="H45" s="74" t="s">
        <v>56</v>
      </c>
      <c r="I45" s="47" t="s">
        <v>261</v>
      </c>
      <c r="J45" s="42">
        <v>2</v>
      </c>
      <c r="K45" s="69">
        <f>J45/J46*100%</f>
        <v>1</v>
      </c>
      <c r="L45" s="71" t="str">
        <f>IF(K45=100%,"SI CUMPLE","NO CUMPLE")</f>
        <v>SI CUMPLE</v>
      </c>
      <c r="M45" s="47" t="s">
        <v>261</v>
      </c>
      <c r="N45" s="42">
        <v>1</v>
      </c>
      <c r="O45" s="69">
        <f>N45/N46*100%</f>
        <v>0.33333333333333331</v>
      </c>
      <c r="P45" s="71" t="str">
        <f>IF(O45=100%,"SI CUMPLE","NO CUMPLE")</f>
        <v>NO CUMPLE</v>
      </c>
      <c r="Q45" s="47" t="s">
        <v>261</v>
      </c>
      <c r="R45" s="42">
        <v>2</v>
      </c>
      <c r="S45" s="69">
        <f>R45/R46*100%</f>
        <v>0.5</v>
      </c>
      <c r="T45" s="71" t="str">
        <f>IF(S45=100%,"SI CUMPLE","NO CUMPLE")</f>
        <v>NO CUMPLE</v>
      </c>
      <c r="U45" s="47" t="s">
        <v>261</v>
      </c>
      <c r="V45" s="42">
        <v>1</v>
      </c>
      <c r="W45" s="69">
        <f>V45/V46*100%</f>
        <v>1</v>
      </c>
      <c r="X45" s="71" t="str">
        <f>IF(W45=100%,"SI CUMPLE","NO CUMPLE")</f>
        <v>SI CUMPLE</v>
      </c>
      <c r="Y45" s="47" t="s">
        <v>261</v>
      </c>
      <c r="Z45" s="42">
        <v>5</v>
      </c>
      <c r="AA45" s="69">
        <f>Z45/Z46*100%</f>
        <v>1</v>
      </c>
      <c r="AB45" s="71" t="str">
        <f>IF(AA45=100%,"SI CUMPLE","NO CUMPLE")</f>
        <v>SI CUMPLE</v>
      </c>
      <c r="AC45" s="47" t="s">
        <v>261</v>
      </c>
      <c r="AD45" s="42">
        <v>7</v>
      </c>
      <c r="AE45" s="69">
        <f>AD45/AD46*100%</f>
        <v>1</v>
      </c>
      <c r="AF45" s="71" t="str">
        <f>IF(AE45=100%,"SI CUMPLE","NO CUMPLE")</f>
        <v>SI CUMPLE</v>
      </c>
      <c r="AG45" s="47" t="s">
        <v>261</v>
      </c>
      <c r="AH45" s="42">
        <v>3</v>
      </c>
      <c r="AI45" s="69">
        <f>AH45/AH46*100%</f>
        <v>0.75</v>
      </c>
      <c r="AJ45" s="71" t="str">
        <f>IF(AI45=100%,"SI CUMPLE","NO CUMPLE")</f>
        <v>NO CUMPLE</v>
      </c>
      <c r="AK45" s="47" t="s">
        <v>261</v>
      </c>
      <c r="AL45" s="42">
        <v>1</v>
      </c>
      <c r="AM45" s="69">
        <f>AL45/AL46*100%</f>
        <v>1</v>
      </c>
      <c r="AN45" s="71" t="str">
        <f>IF(AM45=100%,"SI CUMPLE","NO CUMPLE")</f>
        <v>SI CUMPLE</v>
      </c>
      <c r="AO45" s="47" t="s">
        <v>261</v>
      </c>
      <c r="AP45" s="42">
        <v>1</v>
      </c>
      <c r="AQ45" s="69">
        <f>AP45/AP46*100%</f>
        <v>1</v>
      </c>
      <c r="AR45" s="71" t="str">
        <f>IF(AQ45=100%,"SI CUMPLE","NO CUMPLE")</f>
        <v>SI CUMPLE</v>
      </c>
      <c r="AS45" s="47" t="s">
        <v>261</v>
      </c>
      <c r="AT45" s="42">
        <v>1</v>
      </c>
      <c r="AU45" s="69">
        <f>AT45/AT46*100%</f>
        <v>1</v>
      </c>
      <c r="AV45" s="71" t="str">
        <f>IF(AU45=100%,"SI CUMPLE","NO CUMPLE")</f>
        <v>SI CUMPLE</v>
      </c>
      <c r="AW45" s="47" t="s">
        <v>261</v>
      </c>
      <c r="AX45" s="42">
        <v>1</v>
      </c>
      <c r="AY45" s="69">
        <f>AX45/AX46*100%</f>
        <v>1</v>
      </c>
      <c r="AZ45" s="71" t="str">
        <f>IF(AY45=100%,"SI CUMPLE","NO CUMPLE")</f>
        <v>SI CUMPLE</v>
      </c>
      <c r="BA45" s="47" t="s">
        <v>261</v>
      </c>
      <c r="BB45" s="42">
        <v>1</v>
      </c>
      <c r="BC45" s="69">
        <f>BB45/BB46*100%</f>
        <v>1</v>
      </c>
      <c r="BD45" s="71" t="str">
        <f>IF(BC45=100%,"SI CUMPLE","NO CUMPLE")</f>
        <v>SI CUMPLE</v>
      </c>
    </row>
    <row r="46" spans="1:56" ht="61" customHeight="1" x14ac:dyDescent="0.35">
      <c r="A46" s="77"/>
      <c r="B46" s="74"/>
      <c r="C46" s="85"/>
      <c r="D46" s="81"/>
      <c r="E46" s="81"/>
      <c r="F46" s="83"/>
      <c r="G46" s="74"/>
      <c r="H46" s="74"/>
      <c r="I46" s="47" t="s">
        <v>262</v>
      </c>
      <c r="J46" s="43">
        <v>2</v>
      </c>
      <c r="K46" s="70"/>
      <c r="L46" s="72"/>
      <c r="M46" s="47" t="s">
        <v>262</v>
      </c>
      <c r="N46" s="43">
        <v>3</v>
      </c>
      <c r="O46" s="70"/>
      <c r="P46" s="72"/>
      <c r="Q46" s="47" t="s">
        <v>262</v>
      </c>
      <c r="R46" s="43">
        <v>4</v>
      </c>
      <c r="S46" s="70"/>
      <c r="T46" s="72"/>
      <c r="U46" s="47" t="s">
        <v>262</v>
      </c>
      <c r="V46" s="43">
        <v>1</v>
      </c>
      <c r="W46" s="70"/>
      <c r="X46" s="72"/>
      <c r="Y46" s="47" t="s">
        <v>262</v>
      </c>
      <c r="Z46" s="43">
        <v>5</v>
      </c>
      <c r="AA46" s="70"/>
      <c r="AB46" s="72"/>
      <c r="AC46" s="47" t="s">
        <v>262</v>
      </c>
      <c r="AD46" s="43">
        <v>7</v>
      </c>
      <c r="AE46" s="70"/>
      <c r="AF46" s="72"/>
      <c r="AG46" s="47" t="s">
        <v>262</v>
      </c>
      <c r="AH46" s="43">
        <v>4</v>
      </c>
      <c r="AI46" s="70"/>
      <c r="AJ46" s="72"/>
      <c r="AK46" s="47" t="s">
        <v>262</v>
      </c>
      <c r="AL46" s="43">
        <v>1</v>
      </c>
      <c r="AM46" s="70"/>
      <c r="AN46" s="72"/>
      <c r="AO46" s="47" t="s">
        <v>262</v>
      </c>
      <c r="AP46" s="43">
        <v>1</v>
      </c>
      <c r="AQ46" s="70"/>
      <c r="AR46" s="72"/>
      <c r="AS46" s="47" t="s">
        <v>262</v>
      </c>
      <c r="AT46" s="43">
        <v>1</v>
      </c>
      <c r="AU46" s="70"/>
      <c r="AV46" s="72"/>
      <c r="AW46" s="47" t="s">
        <v>262</v>
      </c>
      <c r="AX46" s="43">
        <v>1</v>
      </c>
      <c r="AY46" s="70"/>
      <c r="AZ46" s="72"/>
      <c r="BA46" s="47" t="s">
        <v>262</v>
      </c>
      <c r="BB46" s="43">
        <v>1</v>
      </c>
      <c r="BC46" s="70"/>
      <c r="BD46" s="72"/>
    </row>
    <row r="47" spans="1:56" ht="61" customHeight="1" x14ac:dyDescent="0.35">
      <c r="A47" s="77"/>
      <c r="B47" s="74"/>
      <c r="C47" s="84">
        <v>1</v>
      </c>
      <c r="D47" s="80" t="s">
        <v>255</v>
      </c>
      <c r="E47" s="80" t="s">
        <v>254</v>
      </c>
      <c r="F47" s="82" t="s">
        <v>13</v>
      </c>
      <c r="G47" s="74" t="s">
        <v>60</v>
      </c>
      <c r="H47" s="74" t="s">
        <v>56</v>
      </c>
      <c r="I47" s="47" t="s">
        <v>263</v>
      </c>
      <c r="J47" s="42">
        <v>2</v>
      </c>
      <c r="K47" s="69">
        <f>J47/J48*100%</f>
        <v>1</v>
      </c>
      <c r="L47" s="71" t="str">
        <f>IF(K47=100%,"SI CUMPLE","NO CUMPLE")</f>
        <v>SI CUMPLE</v>
      </c>
      <c r="M47" s="47" t="s">
        <v>263</v>
      </c>
      <c r="N47" s="42">
        <v>1</v>
      </c>
      <c r="O47" s="69">
        <f>N47/N48*100%</f>
        <v>0.33333333333333331</v>
      </c>
      <c r="P47" s="71" t="str">
        <f>IF(O47=100%,"SI CUMPLE","NO CUMPLE")</f>
        <v>NO CUMPLE</v>
      </c>
      <c r="Q47" s="47" t="s">
        <v>263</v>
      </c>
      <c r="R47" s="42">
        <v>2</v>
      </c>
      <c r="S47" s="69">
        <f>R47/R48*100%</f>
        <v>0.5</v>
      </c>
      <c r="T47" s="71" t="str">
        <f>IF(S47=100%,"SI CUMPLE","NO CUMPLE")</f>
        <v>NO CUMPLE</v>
      </c>
      <c r="U47" s="47" t="s">
        <v>263</v>
      </c>
      <c r="V47" s="42">
        <v>1</v>
      </c>
      <c r="W47" s="69">
        <f>V47/V48*100%</f>
        <v>1</v>
      </c>
      <c r="X47" s="71" t="str">
        <f>IF(W47=100%,"SI CUMPLE","NO CUMPLE")</f>
        <v>SI CUMPLE</v>
      </c>
      <c r="Y47" s="47" t="s">
        <v>263</v>
      </c>
      <c r="Z47" s="42">
        <v>5</v>
      </c>
      <c r="AA47" s="69">
        <f>Z47/Z48*100%</f>
        <v>1</v>
      </c>
      <c r="AB47" s="71" t="str">
        <f>IF(AA47=100%,"SI CUMPLE","NO CUMPLE")</f>
        <v>SI CUMPLE</v>
      </c>
      <c r="AC47" s="47" t="s">
        <v>263</v>
      </c>
      <c r="AD47" s="42">
        <v>7</v>
      </c>
      <c r="AE47" s="69">
        <f>AD47/AD48*100%</f>
        <v>1</v>
      </c>
      <c r="AF47" s="71" t="str">
        <f>IF(AE47=100%,"SI CUMPLE","NO CUMPLE")</f>
        <v>SI CUMPLE</v>
      </c>
      <c r="AG47" s="47" t="s">
        <v>263</v>
      </c>
      <c r="AH47" s="42">
        <v>3</v>
      </c>
      <c r="AI47" s="69">
        <f>AH47/AH48*100%</f>
        <v>0.75</v>
      </c>
      <c r="AJ47" s="71" t="str">
        <f>IF(AI47=100%,"SI CUMPLE","NO CUMPLE")</f>
        <v>NO CUMPLE</v>
      </c>
      <c r="AK47" s="47" t="s">
        <v>263</v>
      </c>
      <c r="AL47" s="42">
        <v>1</v>
      </c>
      <c r="AM47" s="69">
        <f>AL47/AL48*100%</f>
        <v>1</v>
      </c>
      <c r="AN47" s="71" t="str">
        <f>IF(AM47=100%,"SI CUMPLE","NO CUMPLE")</f>
        <v>SI CUMPLE</v>
      </c>
      <c r="AO47" s="47" t="s">
        <v>263</v>
      </c>
      <c r="AP47" s="42">
        <v>1</v>
      </c>
      <c r="AQ47" s="69">
        <f>AP47/AP48*100%</f>
        <v>1</v>
      </c>
      <c r="AR47" s="71" t="str">
        <f>IF(AQ47=100%,"SI CUMPLE","NO CUMPLE")</f>
        <v>SI CUMPLE</v>
      </c>
      <c r="AS47" s="47" t="s">
        <v>263</v>
      </c>
      <c r="AT47" s="42">
        <v>1</v>
      </c>
      <c r="AU47" s="69">
        <f>AT47/AT48*100%</f>
        <v>1</v>
      </c>
      <c r="AV47" s="71" t="str">
        <f>IF(AU47=100%,"SI CUMPLE","NO CUMPLE")</f>
        <v>SI CUMPLE</v>
      </c>
      <c r="AW47" s="47" t="s">
        <v>263</v>
      </c>
      <c r="AX47" s="42">
        <v>1</v>
      </c>
      <c r="AY47" s="69">
        <f>AX47/AX48*100%</f>
        <v>1</v>
      </c>
      <c r="AZ47" s="71" t="str">
        <f>IF(AY47=100%,"SI CUMPLE","NO CUMPLE")</f>
        <v>SI CUMPLE</v>
      </c>
      <c r="BA47" s="47" t="s">
        <v>263</v>
      </c>
      <c r="BB47" s="42">
        <v>1</v>
      </c>
      <c r="BC47" s="69">
        <f>BB47/BB48*100%</f>
        <v>1</v>
      </c>
      <c r="BD47" s="71" t="str">
        <f>IF(BC47=100%,"SI CUMPLE","NO CUMPLE")</f>
        <v>SI CUMPLE</v>
      </c>
    </row>
    <row r="48" spans="1:56" ht="61" customHeight="1" x14ac:dyDescent="0.35">
      <c r="A48" s="77"/>
      <c r="B48" s="74"/>
      <c r="C48" s="85"/>
      <c r="D48" s="81"/>
      <c r="E48" s="81"/>
      <c r="F48" s="83"/>
      <c r="G48" s="74"/>
      <c r="H48" s="74"/>
      <c r="I48" s="47" t="s">
        <v>262</v>
      </c>
      <c r="J48" s="43">
        <v>2</v>
      </c>
      <c r="K48" s="70"/>
      <c r="L48" s="72"/>
      <c r="M48" s="47" t="s">
        <v>262</v>
      </c>
      <c r="N48" s="43">
        <v>3</v>
      </c>
      <c r="O48" s="70"/>
      <c r="P48" s="72"/>
      <c r="Q48" s="47" t="s">
        <v>262</v>
      </c>
      <c r="R48" s="43">
        <v>4</v>
      </c>
      <c r="S48" s="70"/>
      <c r="T48" s="72"/>
      <c r="U48" s="47" t="s">
        <v>262</v>
      </c>
      <c r="V48" s="43">
        <v>1</v>
      </c>
      <c r="W48" s="70"/>
      <c r="X48" s="72"/>
      <c r="Y48" s="47" t="s">
        <v>262</v>
      </c>
      <c r="Z48" s="43">
        <v>5</v>
      </c>
      <c r="AA48" s="70"/>
      <c r="AB48" s="72"/>
      <c r="AC48" s="47" t="s">
        <v>262</v>
      </c>
      <c r="AD48" s="43">
        <v>7</v>
      </c>
      <c r="AE48" s="70"/>
      <c r="AF48" s="72"/>
      <c r="AG48" s="47" t="s">
        <v>262</v>
      </c>
      <c r="AH48" s="43">
        <v>4</v>
      </c>
      <c r="AI48" s="70"/>
      <c r="AJ48" s="72"/>
      <c r="AK48" s="47" t="s">
        <v>262</v>
      </c>
      <c r="AL48" s="43">
        <v>1</v>
      </c>
      <c r="AM48" s="70"/>
      <c r="AN48" s="72"/>
      <c r="AO48" s="47" t="s">
        <v>262</v>
      </c>
      <c r="AP48" s="43">
        <v>1</v>
      </c>
      <c r="AQ48" s="70"/>
      <c r="AR48" s="72"/>
      <c r="AS48" s="47" t="s">
        <v>262</v>
      </c>
      <c r="AT48" s="43">
        <v>1</v>
      </c>
      <c r="AU48" s="70"/>
      <c r="AV48" s="72"/>
      <c r="AW48" s="47" t="s">
        <v>262</v>
      </c>
      <c r="AX48" s="43">
        <v>1</v>
      </c>
      <c r="AY48" s="70"/>
      <c r="AZ48" s="72"/>
      <c r="BA48" s="47" t="s">
        <v>262</v>
      </c>
      <c r="BB48" s="43">
        <v>1</v>
      </c>
      <c r="BC48" s="70"/>
      <c r="BD48" s="72"/>
    </row>
    <row r="49" spans="1:56" ht="61" customHeight="1" x14ac:dyDescent="0.35">
      <c r="A49" s="77"/>
      <c r="B49" s="74"/>
      <c r="C49" s="84">
        <v>1</v>
      </c>
      <c r="D49" s="80" t="s">
        <v>250</v>
      </c>
      <c r="E49" s="80" t="s">
        <v>247</v>
      </c>
      <c r="F49" s="82" t="s">
        <v>7</v>
      </c>
      <c r="G49" s="74" t="s">
        <v>60</v>
      </c>
      <c r="H49" s="74" t="s">
        <v>56</v>
      </c>
      <c r="I49" s="38"/>
      <c r="J49" s="58"/>
      <c r="K49" s="65"/>
      <c r="L49" s="67"/>
      <c r="M49" s="38"/>
      <c r="N49" s="58"/>
      <c r="O49" s="65"/>
      <c r="P49" s="67"/>
      <c r="Q49" s="38"/>
      <c r="R49" s="58"/>
      <c r="S49" s="65"/>
      <c r="T49" s="67"/>
      <c r="U49" s="38"/>
      <c r="V49" s="58"/>
      <c r="W49" s="65"/>
      <c r="X49" s="67"/>
      <c r="Y49" s="38"/>
      <c r="Z49" s="58"/>
      <c r="AA49" s="65"/>
      <c r="AB49" s="67"/>
      <c r="AC49" s="38"/>
      <c r="AD49" s="58"/>
      <c r="AE49" s="65"/>
      <c r="AF49" s="67"/>
      <c r="AG49" s="38"/>
      <c r="AH49" s="58"/>
      <c r="AI49" s="65"/>
      <c r="AJ49" s="67"/>
      <c r="AK49" s="38"/>
      <c r="AL49" s="58"/>
      <c r="AM49" s="65"/>
      <c r="AN49" s="67"/>
      <c r="AO49" s="38"/>
      <c r="AP49" s="58"/>
      <c r="AQ49" s="65"/>
      <c r="AR49" s="67"/>
      <c r="AS49" s="38"/>
      <c r="AT49" s="58"/>
      <c r="AU49" s="65"/>
      <c r="AV49" s="67"/>
      <c r="AW49" s="38"/>
      <c r="AX49" s="58"/>
      <c r="AY49" s="65"/>
      <c r="AZ49" s="67"/>
      <c r="BA49" s="47" t="s">
        <v>249</v>
      </c>
      <c r="BB49" s="42">
        <v>3</v>
      </c>
      <c r="BC49" s="69">
        <f>BB49/BB50*100%</f>
        <v>1</v>
      </c>
      <c r="BD49" s="71" t="str">
        <f>IF(BC49=100%,"SI CUMPLE","NO CUMPLE")</f>
        <v>SI CUMPLE</v>
      </c>
    </row>
    <row r="50" spans="1:56" ht="61" customHeight="1" x14ac:dyDescent="0.35">
      <c r="A50" s="77"/>
      <c r="B50" s="74"/>
      <c r="C50" s="85"/>
      <c r="D50" s="81"/>
      <c r="E50" s="81"/>
      <c r="F50" s="83"/>
      <c r="G50" s="74"/>
      <c r="H50" s="74"/>
      <c r="I50" s="38"/>
      <c r="J50" s="58"/>
      <c r="K50" s="66"/>
      <c r="L50" s="68"/>
      <c r="M50" s="38"/>
      <c r="N50" s="58"/>
      <c r="O50" s="66"/>
      <c r="P50" s="68"/>
      <c r="Q50" s="38"/>
      <c r="R50" s="58"/>
      <c r="S50" s="66"/>
      <c r="T50" s="68"/>
      <c r="U50" s="38"/>
      <c r="V50" s="58"/>
      <c r="W50" s="66"/>
      <c r="X50" s="68"/>
      <c r="Y50" s="38"/>
      <c r="Z50" s="58"/>
      <c r="AA50" s="66"/>
      <c r="AB50" s="68"/>
      <c r="AC50" s="38"/>
      <c r="AD50" s="58"/>
      <c r="AE50" s="66"/>
      <c r="AF50" s="68"/>
      <c r="AG50" s="38"/>
      <c r="AH50" s="58"/>
      <c r="AI50" s="66"/>
      <c r="AJ50" s="68"/>
      <c r="AK50" s="38"/>
      <c r="AL50" s="58"/>
      <c r="AM50" s="66"/>
      <c r="AN50" s="68"/>
      <c r="AO50" s="38"/>
      <c r="AP50" s="58"/>
      <c r="AQ50" s="66"/>
      <c r="AR50" s="68"/>
      <c r="AS50" s="38"/>
      <c r="AT50" s="58"/>
      <c r="AU50" s="66"/>
      <c r="AV50" s="68"/>
      <c r="AW50" s="38"/>
      <c r="AX50" s="58"/>
      <c r="AY50" s="66"/>
      <c r="AZ50" s="68"/>
      <c r="BA50" s="47" t="s">
        <v>251</v>
      </c>
      <c r="BB50" s="43">
        <v>3</v>
      </c>
      <c r="BC50" s="70"/>
      <c r="BD50" s="72"/>
    </row>
    <row r="51" spans="1:56" ht="61" customHeight="1" x14ac:dyDescent="0.35">
      <c r="A51" s="77"/>
      <c r="B51" s="74"/>
      <c r="C51" s="75">
        <v>1</v>
      </c>
      <c r="D51" s="74" t="s">
        <v>252</v>
      </c>
      <c r="E51" s="74" t="s">
        <v>253</v>
      </c>
      <c r="F51" s="76" t="s">
        <v>7</v>
      </c>
      <c r="G51" s="74" t="s">
        <v>60</v>
      </c>
      <c r="H51" s="74" t="s">
        <v>56</v>
      </c>
      <c r="I51" s="38"/>
      <c r="J51" s="58"/>
      <c r="K51" s="65"/>
      <c r="L51" s="67"/>
      <c r="M51" s="38"/>
      <c r="N51" s="58"/>
      <c r="O51" s="65"/>
      <c r="P51" s="67"/>
      <c r="Q51" s="38"/>
      <c r="R51" s="58"/>
      <c r="S51" s="65"/>
      <c r="T51" s="67"/>
      <c r="U51" s="38"/>
      <c r="V51" s="58"/>
      <c r="W51" s="65"/>
      <c r="X51" s="67"/>
      <c r="Y51" s="38"/>
      <c r="Z51" s="58"/>
      <c r="AA51" s="65"/>
      <c r="AB51" s="67"/>
      <c r="AC51" s="38"/>
      <c r="AD51" s="58"/>
      <c r="AE51" s="65"/>
      <c r="AF51" s="67"/>
      <c r="AG51" s="38"/>
      <c r="AH51" s="58"/>
      <c r="AI51" s="65"/>
      <c r="AJ51" s="67"/>
      <c r="AK51" s="38"/>
      <c r="AL51" s="58"/>
      <c r="AM51" s="65"/>
      <c r="AN51" s="67"/>
      <c r="AO51" s="38"/>
      <c r="AP51" s="58"/>
      <c r="AQ51" s="65"/>
      <c r="AR51" s="67"/>
      <c r="AS51" s="38"/>
      <c r="AT51" s="58"/>
      <c r="AU51" s="65"/>
      <c r="AV51" s="67"/>
      <c r="AW51" s="38"/>
      <c r="AX51" s="58"/>
      <c r="AY51" s="65"/>
      <c r="AZ51" s="67"/>
      <c r="BA51" s="47" t="s">
        <v>264</v>
      </c>
      <c r="BB51" s="42">
        <v>3</v>
      </c>
      <c r="BC51" s="69">
        <f>BB51/BB52*100%</f>
        <v>1</v>
      </c>
      <c r="BD51" s="71" t="str">
        <f>IF(BC51=100%,"SI CUMPLE","NO CUMPLE")</f>
        <v>SI CUMPLE</v>
      </c>
    </row>
    <row r="52" spans="1:56" ht="61" customHeight="1" x14ac:dyDescent="0.35">
      <c r="A52" s="77"/>
      <c r="B52" s="74"/>
      <c r="C52" s="75"/>
      <c r="D52" s="74"/>
      <c r="E52" s="74"/>
      <c r="F52" s="76"/>
      <c r="G52" s="74"/>
      <c r="H52" s="74"/>
      <c r="I52" s="38"/>
      <c r="J52" s="58"/>
      <c r="K52" s="66"/>
      <c r="L52" s="68"/>
      <c r="M52" s="38"/>
      <c r="N52" s="58"/>
      <c r="O52" s="66"/>
      <c r="P52" s="68"/>
      <c r="Q52" s="38"/>
      <c r="R52" s="58"/>
      <c r="S52" s="66"/>
      <c r="T52" s="68"/>
      <c r="U52" s="38"/>
      <c r="V52" s="58"/>
      <c r="W52" s="66"/>
      <c r="X52" s="68"/>
      <c r="Y52" s="38"/>
      <c r="Z52" s="58"/>
      <c r="AA52" s="66"/>
      <c r="AB52" s="68"/>
      <c r="AC52" s="38"/>
      <c r="AD52" s="58"/>
      <c r="AE52" s="66"/>
      <c r="AF52" s="68"/>
      <c r="AG52" s="38"/>
      <c r="AH52" s="58"/>
      <c r="AI52" s="66"/>
      <c r="AJ52" s="68"/>
      <c r="AK52" s="38"/>
      <c r="AL52" s="58"/>
      <c r="AM52" s="66"/>
      <c r="AN52" s="68"/>
      <c r="AO52" s="38"/>
      <c r="AP52" s="58"/>
      <c r="AQ52" s="66"/>
      <c r="AR52" s="68"/>
      <c r="AS52" s="38"/>
      <c r="AT52" s="58"/>
      <c r="AU52" s="66"/>
      <c r="AV52" s="68"/>
      <c r="AW52" s="38"/>
      <c r="AX52" s="58"/>
      <c r="AY52" s="66"/>
      <c r="AZ52" s="68"/>
      <c r="BA52" s="47" t="s">
        <v>251</v>
      </c>
      <c r="BB52" s="43">
        <v>3</v>
      </c>
      <c r="BC52" s="70"/>
      <c r="BD52" s="72"/>
    </row>
    <row r="53" spans="1:56" ht="61" customHeight="1" x14ac:dyDescent="0.35">
      <c r="A53" s="62" t="s">
        <v>67</v>
      </c>
      <c r="B53" s="45" t="s">
        <v>265</v>
      </c>
      <c r="C53" s="46" t="s">
        <v>106</v>
      </c>
      <c r="D53" s="45" t="s">
        <v>267</v>
      </c>
      <c r="E53" s="45" t="s">
        <v>266</v>
      </c>
      <c r="F53" s="47" t="s">
        <v>7</v>
      </c>
      <c r="G53" s="45" t="s">
        <v>60</v>
      </c>
      <c r="H53" s="45" t="s">
        <v>56</v>
      </c>
      <c r="I53" s="38"/>
      <c r="J53" s="38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78" t="s">
        <v>267</v>
      </c>
      <c r="BB53" s="79"/>
      <c r="BC53" s="13" t="s">
        <v>121</v>
      </c>
      <c r="BD53" s="13" t="str">
        <f t="shared" ref="BD53" si="1">IF(BC53="SI","SI CUMPLE","NO CUMPLE")</f>
        <v>NO CUMPLE</v>
      </c>
    </row>
    <row r="54" spans="1:56" ht="61" customHeight="1" x14ac:dyDescent="0.35">
      <c r="A54" s="77" t="s">
        <v>68</v>
      </c>
      <c r="B54" s="74" t="s">
        <v>268</v>
      </c>
      <c r="C54" s="75">
        <v>0.8</v>
      </c>
      <c r="D54" s="74" t="s">
        <v>269</v>
      </c>
      <c r="E54" s="74" t="s">
        <v>69</v>
      </c>
      <c r="F54" s="76" t="s">
        <v>7</v>
      </c>
      <c r="G54" s="74" t="s">
        <v>60</v>
      </c>
      <c r="H54" s="74" t="s">
        <v>56</v>
      </c>
      <c r="I54" s="38"/>
      <c r="J54" s="58"/>
      <c r="K54" s="65"/>
      <c r="L54" s="67"/>
      <c r="M54" s="38"/>
      <c r="N54" s="58"/>
      <c r="O54" s="65"/>
      <c r="P54" s="67"/>
      <c r="Q54" s="38"/>
      <c r="R54" s="58"/>
      <c r="S54" s="65"/>
      <c r="T54" s="67"/>
      <c r="U54" s="38"/>
      <c r="V54" s="58"/>
      <c r="W54" s="65"/>
      <c r="X54" s="67"/>
      <c r="Y54" s="38"/>
      <c r="Z54" s="58"/>
      <c r="AA54" s="65"/>
      <c r="AB54" s="67"/>
      <c r="AC54" s="38"/>
      <c r="AD54" s="58"/>
      <c r="AE54" s="65"/>
      <c r="AF54" s="67"/>
      <c r="AG54" s="38"/>
      <c r="AH54" s="58"/>
      <c r="AI54" s="65"/>
      <c r="AJ54" s="67"/>
      <c r="AK54" s="38"/>
      <c r="AL54" s="58"/>
      <c r="AM54" s="65"/>
      <c r="AN54" s="67"/>
      <c r="AO54" s="38"/>
      <c r="AP54" s="58"/>
      <c r="AQ54" s="65"/>
      <c r="AR54" s="67"/>
      <c r="AS54" s="38"/>
      <c r="AT54" s="58"/>
      <c r="AU54" s="65"/>
      <c r="AV54" s="67"/>
      <c r="AW54" s="38"/>
      <c r="AX54" s="58"/>
      <c r="AY54" s="65"/>
      <c r="AZ54" s="67"/>
      <c r="BA54" s="47" t="s">
        <v>270</v>
      </c>
      <c r="BB54" s="42">
        <v>8</v>
      </c>
      <c r="BC54" s="69">
        <f>BB54/BB55*100%</f>
        <v>0.8</v>
      </c>
      <c r="BD54" s="71" t="str">
        <f>IF(BC54&gt;=80%,"SI CUMPLE","NO CUMPLE")</f>
        <v>SI CUMPLE</v>
      </c>
    </row>
    <row r="55" spans="1:56" ht="61" customHeight="1" x14ac:dyDescent="0.35">
      <c r="A55" s="77"/>
      <c r="B55" s="74"/>
      <c r="C55" s="75"/>
      <c r="D55" s="74"/>
      <c r="E55" s="74"/>
      <c r="F55" s="76"/>
      <c r="G55" s="74"/>
      <c r="H55" s="74"/>
      <c r="I55" s="38"/>
      <c r="J55" s="58"/>
      <c r="K55" s="66"/>
      <c r="L55" s="68"/>
      <c r="M55" s="38"/>
      <c r="N55" s="58"/>
      <c r="O55" s="66"/>
      <c r="P55" s="68"/>
      <c r="Q55" s="38"/>
      <c r="R55" s="58"/>
      <c r="S55" s="66"/>
      <c r="T55" s="68"/>
      <c r="U55" s="38"/>
      <c r="V55" s="58"/>
      <c r="W55" s="66"/>
      <c r="X55" s="68"/>
      <c r="Y55" s="38"/>
      <c r="Z55" s="58"/>
      <c r="AA55" s="66"/>
      <c r="AB55" s="68"/>
      <c r="AC55" s="38"/>
      <c r="AD55" s="58"/>
      <c r="AE55" s="66"/>
      <c r="AF55" s="68"/>
      <c r="AG55" s="38"/>
      <c r="AH55" s="58"/>
      <c r="AI55" s="66"/>
      <c r="AJ55" s="68"/>
      <c r="AK55" s="38"/>
      <c r="AL55" s="58"/>
      <c r="AM55" s="66"/>
      <c r="AN55" s="68"/>
      <c r="AO55" s="38"/>
      <c r="AP55" s="58"/>
      <c r="AQ55" s="66"/>
      <c r="AR55" s="68"/>
      <c r="AS55" s="38"/>
      <c r="AT55" s="58"/>
      <c r="AU55" s="66"/>
      <c r="AV55" s="68"/>
      <c r="AW55" s="38"/>
      <c r="AX55" s="58"/>
      <c r="AY55" s="66"/>
      <c r="AZ55" s="68"/>
      <c r="BA55" s="47" t="s">
        <v>271</v>
      </c>
      <c r="BB55" s="43">
        <v>10</v>
      </c>
      <c r="BC55" s="70"/>
      <c r="BD55" s="72"/>
    </row>
    <row r="56" spans="1:56" ht="61" customHeight="1" x14ac:dyDescent="0.35">
      <c r="A56" s="73" t="s">
        <v>70</v>
      </c>
      <c r="B56" s="74" t="s">
        <v>272</v>
      </c>
      <c r="C56" s="75">
        <v>1</v>
      </c>
      <c r="D56" s="74" t="s">
        <v>274</v>
      </c>
      <c r="E56" s="74" t="s">
        <v>71</v>
      </c>
      <c r="F56" s="76" t="s">
        <v>7</v>
      </c>
      <c r="G56" s="74" t="s">
        <v>60</v>
      </c>
      <c r="H56" s="74" t="s">
        <v>56</v>
      </c>
      <c r="I56" s="38"/>
      <c r="J56" s="58"/>
      <c r="K56" s="65"/>
      <c r="L56" s="67"/>
      <c r="M56" s="38"/>
      <c r="N56" s="58"/>
      <c r="O56" s="65"/>
      <c r="P56" s="67"/>
      <c r="Q56" s="38"/>
      <c r="R56" s="58"/>
      <c r="S56" s="65"/>
      <c r="T56" s="67"/>
      <c r="U56" s="38"/>
      <c r="V56" s="58"/>
      <c r="W56" s="65"/>
      <c r="X56" s="67"/>
      <c r="Y56" s="38"/>
      <c r="Z56" s="58"/>
      <c r="AA56" s="65"/>
      <c r="AB56" s="67"/>
      <c r="AC56" s="38"/>
      <c r="AD56" s="58"/>
      <c r="AE56" s="65"/>
      <c r="AF56" s="67"/>
      <c r="AG56" s="38"/>
      <c r="AH56" s="58"/>
      <c r="AI56" s="65"/>
      <c r="AJ56" s="67"/>
      <c r="AK56" s="38"/>
      <c r="AL56" s="58"/>
      <c r="AM56" s="65"/>
      <c r="AN56" s="67"/>
      <c r="AO56" s="38"/>
      <c r="AP56" s="58"/>
      <c r="AQ56" s="65"/>
      <c r="AR56" s="67"/>
      <c r="AS56" s="38"/>
      <c r="AT56" s="58"/>
      <c r="AU56" s="65"/>
      <c r="AV56" s="67"/>
      <c r="AW56" s="38"/>
      <c r="AX56" s="58"/>
      <c r="AY56" s="65"/>
      <c r="AZ56" s="67"/>
      <c r="BA56" s="47" t="s">
        <v>273</v>
      </c>
      <c r="BB56" s="42">
        <v>18</v>
      </c>
      <c r="BC56" s="69">
        <f>BB56/BB57*100%</f>
        <v>0.8571428571428571</v>
      </c>
      <c r="BD56" s="71" t="str">
        <f>IF(BC56=100%,"SI CUMPLE","NO CUMPLE")</f>
        <v>NO CUMPLE</v>
      </c>
    </row>
    <row r="57" spans="1:56" ht="61" customHeight="1" x14ac:dyDescent="0.35">
      <c r="A57" s="73"/>
      <c r="B57" s="74"/>
      <c r="C57" s="75"/>
      <c r="D57" s="74"/>
      <c r="E57" s="74"/>
      <c r="F57" s="76"/>
      <c r="G57" s="74"/>
      <c r="H57" s="74"/>
      <c r="I57" s="38"/>
      <c r="J57" s="58"/>
      <c r="K57" s="66"/>
      <c r="L57" s="68"/>
      <c r="M57" s="38"/>
      <c r="N57" s="58"/>
      <c r="O57" s="66"/>
      <c r="P57" s="68"/>
      <c r="Q57" s="38"/>
      <c r="R57" s="58"/>
      <c r="S57" s="66"/>
      <c r="T57" s="68"/>
      <c r="U57" s="38"/>
      <c r="V57" s="58"/>
      <c r="W57" s="66"/>
      <c r="X57" s="68"/>
      <c r="Y57" s="38"/>
      <c r="Z57" s="58"/>
      <c r="AA57" s="66"/>
      <c r="AB57" s="68"/>
      <c r="AC57" s="38"/>
      <c r="AD57" s="58"/>
      <c r="AE57" s="66"/>
      <c r="AF57" s="68"/>
      <c r="AG57" s="38"/>
      <c r="AH57" s="58"/>
      <c r="AI57" s="66"/>
      <c r="AJ57" s="68"/>
      <c r="AK57" s="38"/>
      <c r="AL57" s="58"/>
      <c r="AM57" s="66"/>
      <c r="AN57" s="68"/>
      <c r="AO57" s="38"/>
      <c r="AP57" s="58"/>
      <c r="AQ57" s="66"/>
      <c r="AR57" s="68"/>
      <c r="AS57" s="38"/>
      <c r="AT57" s="58"/>
      <c r="AU57" s="66"/>
      <c r="AV57" s="68"/>
      <c r="AW57" s="38"/>
      <c r="AX57" s="58"/>
      <c r="AY57" s="66"/>
      <c r="AZ57" s="68"/>
      <c r="BA57" s="47" t="s">
        <v>275</v>
      </c>
      <c r="BB57" s="43">
        <v>21</v>
      </c>
      <c r="BC57" s="70"/>
      <c r="BD57" s="72"/>
    </row>
    <row r="58" spans="1:56" ht="61" customHeight="1" x14ac:dyDescent="0.35"/>
    <row r="59" spans="1:56" ht="24" customHeight="1" x14ac:dyDescent="0.35">
      <c r="A59" s="105" t="s">
        <v>306</v>
      </c>
      <c r="B59" s="105"/>
      <c r="C59" s="105"/>
      <c r="D59" s="105"/>
      <c r="E59" s="105"/>
      <c r="F59" s="105"/>
      <c r="G59" s="105"/>
      <c r="H59" s="105"/>
      <c r="I59" s="119" t="s">
        <v>33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0"/>
      <c r="AV59" s="120"/>
      <c r="AW59" s="120"/>
      <c r="AX59" s="120"/>
      <c r="AY59" s="120"/>
      <c r="AZ59" s="120"/>
      <c r="BA59" s="120"/>
      <c r="BB59" s="120"/>
      <c r="BC59" s="120"/>
      <c r="BD59" s="120"/>
    </row>
    <row r="60" spans="1:56" ht="24" customHeight="1" x14ac:dyDescent="0.35">
      <c r="A60" s="106"/>
      <c r="B60" s="106"/>
      <c r="C60" s="106"/>
      <c r="D60" s="106"/>
      <c r="E60" s="106"/>
      <c r="F60" s="106"/>
      <c r="G60" s="106"/>
      <c r="H60" s="106"/>
      <c r="I60" s="121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</row>
    <row r="61" spans="1:56" ht="61" customHeight="1" x14ac:dyDescent="0.35">
      <c r="A61" s="60" t="s">
        <v>0</v>
      </c>
      <c r="B61" s="60" t="s">
        <v>1</v>
      </c>
      <c r="C61" s="60" t="s">
        <v>2</v>
      </c>
      <c r="D61" s="60" t="s">
        <v>3</v>
      </c>
      <c r="E61" s="60" t="s">
        <v>4</v>
      </c>
      <c r="F61" s="60" t="s">
        <v>5</v>
      </c>
      <c r="G61" s="60" t="s">
        <v>6</v>
      </c>
      <c r="H61" s="60" t="s">
        <v>20</v>
      </c>
      <c r="I61" s="109" t="s">
        <v>158</v>
      </c>
      <c r="J61" s="110"/>
      <c r="K61" s="60" t="s">
        <v>159</v>
      </c>
      <c r="L61" s="60" t="s">
        <v>119</v>
      </c>
      <c r="M61" s="107" t="s">
        <v>158</v>
      </c>
      <c r="N61" s="108"/>
      <c r="O61" s="59" t="s">
        <v>161</v>
      </c>
      <c r="P61" s="59" t="s">
        <v>119</v>
      </c>
      <c r="Q61" s="109" t="s">
        <v>158</v>
      </c>
      <c r="R61" s="110"/>
      <c r="S61" s="60" t="s">
        <v>162</v>
      </c>
      <c r="T61" s="60" t="s">
        <v>119</v>
      </c>
      <c r="U61" s="107" t="s">
        <v>158</v>
      </c>
      <c r="V61" s="108"/>
      <c r="W61" s="59" t="s">
        <v>163</v>
      </c>
      <c r="X61" s="59" t="s">
        <v>119</v>
      </c>
      <c r="Y61" s="109" t="s">
        <v>158</v>
      </c>
      <c r="Z61" s="110"/>
      <c r="AA61" s="60" t="s">
        <v>164</v>
      </c>
      <c r="AB61" s="60" t="s">
        <v>119</v>
      </c>
      <c r="AC61" s="107" t="s">
        <v>158</v>
      </c>
      <c r="AD61" s="108"/>
      <c r="AE61" s="59" t="s">
        <v>165</v>
      </c>
      <c r="AF61" s="59" t="s">
        <v>119</v>
      </c>
      <c r="AG61" s="109" t="s">
        <v>158</v>
      </c>
      <c r="AH61" s="110"/>
      <c r="AI61" s="60" t="s">
        <v>166</v>
      </c>
      <c r="AJ61" s="60" t="s">
        <v>119</v>
      </c>
      <c r="AK61" s="107" t="s">
        <v>158</v>
      </c>
      <c r="AL61" s="108"/>
      <c r="AM61" s="59" t="s">
        <v>167</v>
      </c>
      <c r="AN61" s="59" t="s">
        <v>119</v>
      </c>
      <c r="AO61" s="109" t="s">
        <v>158</v>
      </c>
      <c r="AP61" s="110"/>
      <c r="AQ61" s="60" t="s">
        <v>168</v>
      </c>
      <c r="AR61" s="60" t="s">
        <v>119</v>
      </c>
      <c r="AS61" s="107" t="s">
        <v>158</v>
      </c>
      <c r="AT61" s="108"/>
      <c r="AU61" s="59" t="s">
        <v>170</v>
      </c>
      <c r="AV61" s="59" t="s">
        <v>119</v>
      </c>
      <c r="AW61" s="109" t="s">
        <v>158</v>
      </c>
      <c r="AX61" s="110"/>
      <c r="AY61" s="60" t="s">
        <v>169</v>
      </c>
      <c r="AZ61" s="60" t="s">
        <v>119</v>
      </c>
      <c r="BA61" s="107" t="s">
        <v>158</v>
      </c>
      <c r="BB61" s="108"/>
      <c r="BC61" s="59" t="s">
        <v>171</v>
      </c>
      <c r="BD61" s="59" t="s">
        <v>119</v>
      </c>
    </row>
    <row r="62" spans="1:56" ht="61" customHeight="1" x14ac:dyDescent="0.35">
      <c r="A62" s="77" t="s">
        <v>17</v>
      </c>
      <c r="B62" s="74" t="s">
        <v>18</v>
      </c>
      <c r="C62" s="75">
        <v>0.8</v>
      </c>
      <c r="D62" s="74" t="s">
        <v>122</v>
      </c>
      <c r="E62" s="74" t="s">
        <v>72</v>
      </c>
      <c r="F62" s="76" t="s">
        <v>7</v>
      </c>
      <c r="G62" s="74" t="s">
        <v>60</v>
      </c>
      <c r="H62" s="74" t="s">
        <v>56</v>
      </c>
      <c r="I62" s="38"/>
      <c r="J62" s="58"/>
      <c r="K62" s="65"/>
      <c r="L62" s="67"/>
      <c r="M62" s="38"/>
      <c r="N62" s="58"/>
      <c r="O62" s="65"/>
      <c r="P62" s="67"/>
      <c r="Q62" s="38"/>
      <c r="R62" s="58"/>
      <c r="S62" s="65"/>
      <c r="T62" s="67"/>
      <c r="U62" s="38"/>
      <c r="V62" s="58"/>
      <c r="W62" s="65"/>
      <c r="X62" s="67"/>
      <c r="Y62" s="38"/>
      <c r="Z62" s="58"/>
      <c r="AA62" s="65"/>
      <c r="AB62" s="67"/>
      <c r="AC62" s="38"/>
      <c r="AD62" s="58"/>
      <c r="AE62" s="65"/>
      <c r="AF62" s="67"/>
      <c r="AG62" s="38"/>
      <c r="AH62" s="58"/>
      <c r="AI62" s="65"/>
      <c r="AJ62" s="67"/>
      <c r="AK62" s="38"/>
      <c r="AL62" s="58"/>
      <c r="AM62" s="65"/>
      <c r="AN62" s="67"/>
      <c r="AO62" s="38"/>
      <c r="AP62" s="58"/>
      <c r="AQ62" s="65"/>
      <c r="AR62" s="67"/>
      <c r="AS62" s="38"/>
      <c r="AT62" s="58"/>
      <c r="AU62" s="65"/>
      <c r="AV62" s="67"/>
      <c r="AW62" s="38"/>
      <c r="AX62" s="58"/>
      <c r="AY62" s="65"/>
      <c r="AZ62" s="67"/>
      <c r="BA62" s="55" t="s">
        <v>283</v>
      </c>
      <c r="BB62" s="42">
        <v>40</v>
      </c>
      <c r="BC62" s="69">
        <f>BB62/BB63*100%</f>
        <v>0.8</v>
      </c>
      <c r="BD62" s="71" t="str">
        <f>IF(BC62&gt;=80%,"SI CUMPLE","NO CUMPLE")</f>
        <v>SI CUMPLE</v>
      </c>
    </row>
    <row r="63" spans="1:56" ht="61" customHeight="1" x14ac:dyDescent="0.35">
      <c r="A63" s="77"/>
      <c r="B63" s="74"/>
      <c r="C63" s="75"/>
      <c r="D63" s="74"/>
      <c r="E63" s="74"/>
      <c r="F63" s="76"/>
      <c r="G63" s="74"/>
      <c r="H63" s="74"/>
      <c r="I63" s="38"/>
      <c r="J63" s="58"/>
      <c r="K63" s="66"/>
      <c r="L63" s="68"/>
      <c r="M63" s="38"/>
      <c r="N63" s="58"/>
      <c r="O63" s="66"/>
      <c r="P63" s="68"/>
      <c r="Q63" s="38"/>
      <c r="R63" s="58"/>
      <c r="S63" s="66"/>
      <c r="T63" s="68"/>
      <c r="U63" s="38"/>
      <c r="V63" s="58"/>
      <c r="W63" s="66"/>
      <c r="X63" s="68"/>
      <c r="Y63" s="38"/>
      <c r="Z63" s="58"/>
      <c r="AA63" s="66"/>
      <c r="AB63" s="68"/>
      <c r="AC63" s="38"/>
      <c r="AD63" s="58"/>
      <c r="AE63" s="66"/>
      <c r="AF63" s="68"/>
      <c r="AG63" s="38"/>
      <c r="AH63" s="58"/>
      <c r="AI63" s="66"/>
      <c r="AJ63" s="68"/>
      <c r="AK63" s="38"/>
      <c r="AL63" s="58"/>
      <c r="AM63" s="66"/>
      <c r="AN63" s="68"/>
      <c r="AO63" s="38"/>
      <c r="AP63" s="58"/>
      <c r="AQ63" s="66"/>
      <c r="AR63" s="68"/>
      <c r="AS63" s="38"/>
      <c r="AT63" s="58"/>
      <c r="AU63" s="66"/>
      <c r="AV63" s="68"/>
      <c r="AW63" s="38"/>
      <c r="AX63" s="58"/>
      <c r="AY63" s="66"/>
      <c r="AZ63" s="68"/>
      <c r="BA63" s="55" t="s">
        <v>280</v>
      </c>
      <c r="BB63" s="43">
        <v>50</v>
      </c>
      <c r="BC63" s="70"/>
      <c r="BD63" s="72"/>
    </row>
    <row r="64" spans="1:56" ht="61" customHeight="1" x14ac:dyDescent="0.35">
      <c r="A64" s="77" t="s">
        <v>73</v>
      </c>
      <c r="B64" s="76" t="s">
        <v>74</v>
      </c>
      <c r="C64" s="104">
        <v>1</v>
      </c>
      <c r="D64" s="76" t="s">
        <v>281</v>
      </c>
      <c r="E64" s="76" t="s">
        <v>36</v>
      </c>
      <c r="F64" s="76" t="s">
        <v>7</v>
      </c>
      <c r="G64" s="74" t="s">
        <v>60</v>
      </c>
      <c r="H64" s="74" t="s">
        <v>56</v>
      </c>
      <c r="I64" s="38"/>
      <c r="J64" s="58"/>
      <c r="K64" s="65"/>
      <c r="L64" s="67"/>
      <c r="M64" s="38"/>
      <c r="N64" s="58"/>
      <c r="O64" s="65"/>
      <c r="P64" s="67"/>
      <c r="Q64" s="38"/>
      <c r="R64" s="58"/>
      <c r="S64" s="65"/>
      <c r="T64" s="67"/>
      <c r="U64" s="38"/>
      <c r="V64" s="58"/>
      <c r="W64" s="65"/>
      <c r="X64" s="67"/>
      <c r="Y64" s="38"/>
      <c r="Z64" s="58"/>
      <c r="AA64" s="65"/>
      <c r="AB64" s="67"/>
      <c r="AC64" s="38"/>
      <c r="AD64" s="58"/>
      <c r="AE64" s="65"/>
      <c r="AF64" s="67"/>
      <c r="AG64" s="38"/>
      <c r="AH64" s="58"/>
      <c r="AI64" s="65"/>
      <c r="AJ64" s="67"/>
      <c r="AK64" s="38"/>
      <c r="AL64" s="58"/>
      <c r="AM64" s="65"/>
      <c r="AN64" s="67"/>
      <c r="AO64" s="38"/>
      <c r="AP64" s="58"/>
      <c r="AQ64" s="65"/>
      <c r="AR64" s="67"/>
      <c r="AS64" s="38"/>
      <c r="AT64" s="58"/>
      <c r="AU64" s="65"/>
      <c r="AV64" s="67"/>
      <c r="AW64" s="38"/>
      <c r="AX64" s="58"/>
      <c r="AY64" s="65"/>
      <c r="AZ64" s="67"/>
      <c r="BA64" s="55" t="s">
        <v>282</v>
      </c>
      <c r="BB64" s="42">
        <v>3</v>
      </c>
      <c r="BC64" s="69">
        <f>BB64/BB65*100%</f>
        <v>0.6</v>
      </c>
      <c r="BD64" s="71" t="str">
        <f>IF(BC64=100%,"SI CUMPLE","NO CUMPLE")</f>
        <v>NO CUMPLE</v>
      </c>
    </row>
    <row r="65" spans="1:56" ht="61" customHeight="1" x14ac:dyDescent="0.35">
      <c r="A65" s="77"/>
      <c r="B65" s="76"/>
      <c r="C65" s="104"/>
      <c r="D65" s="76"/>
      <c r="E65" s="76"/>
      <c r="F65" s="76"/>
      <c r="G65" s="74"/>
      <c r="H65" s="74"/>
      <c r="I65" s="38"/>
      <c r="J65" s="58"/>
      <c r="K65" s="66"/>
      <c r="L65" s="68"/>
      <c r="M65" s="38"/>
      <c r="N65" s="58"/>
      <c r="O65" s="66"/>
      <c r="P65" s="68"/>
      <c r="Q65" s="38"/>
      <c r="R65" s="58"/>
      <c r="S65" s="66"/>
      <c r="T65" s="68"/>
      <c r="U65" s="38"/>
      <c r="V65" s="58"/>
      <c r="W65" s="66"/>
      <c r="X65" s="68"/>
      <c r="Y65" s="38"/>
      <c r="Z65" s="58"/>
      <c r="AA65" s="66"/>
      <c r="AB65" s="68"/>
      <c r="AC65" s="38"/>
      <c r="AD65" s="58"/>
      <c r="AE65" s="66"/>
      <c r="AF65" s="68"/>
      <c r="AG65" s="38"/>
      <c r="AH65" s="58"/>
      <c r="AI65" s="66"/>
      <c r="AJ65" s="68"/>
      <c r="AK65" s="38"/>
      <c r="AL65" s="58"/>
      <c r="AM65" s="66"/>
      <c r="AN65" s="68"/>
      <c r="AO65" s="38"/>
      <c r="AP65" s="58"/>
      <c r="AQ65" s="66"/>
      <c r="AR65" s="68"/>
      <c r="AS65" s="38"/>
      <c r="AT65" s="58"/>
      <c r="AU65" s="66"/>
      <c r="AV65" s="68"/>
      <c r="AW65" s="38"/>
      <c r="AX65" s="58"/>
      <c r="AY65" s="66"/>
      <c r="AZ65" s="68"/>
      <c r="BA65" s="55" t="s">
        <v>284</v>
      </c>
      <c r="BB65" s="43">
        <v>5</v>
      </c>
      <c r="BC65" s="70"/>
      <c r="BD65" s="72"/>
    </row>
    <row r="66" spans="1:56" ht="68.5" customHeight="1" x14ac:dyDescent="0.35">
      <c r="A66" s="77"/>
      <c r="B66" s="76" t="s">
        <v>75</v>
      </c>
      <c r="C66" s="75">
        <v>1</v>
      </c>
      <c r="D66" s="74" t="s">
        <v>285</v>
      </c>
      <c r="E66" s="76" t="s">
        <v>36</v>
      </c>
      <c r="F66" s="76" t="s">
        <v>7</v>
      </c>
      <c r="G66" s="74" t="s">
        <v>60</v>
      </c>
      <c r="H66" s="74" t="s">
        <v>56</v>
      </c>
      <c r="I66" s="38"/>
      <c r="J66" s="58"/>
      <c r="K66" s="65"/>
      <c r="L66" s="67"/>
      <c r="M66" s="38"/>
      <c r="N66" s="58"/>
      <c r="O66" s="65"/>
      <c r="P66" s="67"/>
      <c r="Q66" s="38"/>
      <c r="R66" s="58"/>
      <c r="S66" s="65"/>
      <c r="T66" s="67"/>
      <c r="U66" s="38"/>
      <c r="V66" s="58"/>
      <c r="W66" s="65"/>
      <c r="X66" s="67"/>
      <c r="Y66" s="38"/>
      <c r="Z66" s="58"/>
      <c r="AA66" s="65"/>
      <c r="AB66" s="67"/>
      <c r="AC66" s="38"/>
      <c r="AD66" s="58"/>
      <c r="AE66" s="65"/>
      <c r="AF66" s="67"/>
      <c r="AG66" s="38"/>
      <c r="AH66" s="58"/>
      <c r="AI66" s="65"/>
      <c r="AJ66" s="67"/>
      <c r="AK66" s="38"/>
      <c r="AL66" s="58"/>
      <c r="AM66" s="65"/>
      <c r="AN66" s="67"/>
      <c r="AO66" s="38"/>
      <c r="AP66" s="58"/>
      <c r="AQ66" s="65"/>
      <c r="AR66" s="67"/>
      <c r="AS66" s="38"/>
      <c r="AT66" s="58"/>
      <c r="AU66" s="65"/>
      <c r="AV66" s="67"/>
      <c r="AW66" s="38"/>
      <c r="AX66" s="58"/>
      <c r="AY66" s="65"/>
      <c r="AZ66" s="67"/>
      <c r="BA66" s="55" t="s">
        <v>286</v>
      </c>
      <c r="BB66" s="42">
        <v>80</v>
      </c>
      <c r="BC66" s="69">
        <f>BB66/BB67*100%</f>
        <v>1</v>
      </c>
      <c r="BD66" s="71" t="str">
        <f>IF(BC66=100%,"SI CUMPLE","NO CUMPLE")</f>
        <v>SI CUMPLE</v>
      </c>
    </row>
    <row r="67" spans="1:56" ht="68.5" customHeight="1" x14ac:dyDescent="0.35">
      <c r="A67" s="77"/>
      <c r="B67" s="76"/>
      <c r="C67" s="75"/>
      <c r="D67" s="74"/>
      <c r="E67" s="76"/>
      <c r="F67" s="76"/>
      <c r="G67" s="74"/>
      <c r="H67" s="74"/>
      <c r="I67" s="38"/>
      <c r="J67" s="58"/>
      <c r="K67" s="66"/>
      <c r="L67" s="68"/>
      <c r="M67" s="38"/>
      <c r="N67" s="58"/>
      <c r="O67" s="66"/>
      <c r="P67" s="68"/>
      <c r="Q67" s="38"/>
      <c r="R67" s="58"/>
      <c r="S67" s="66"/>
      <c r="T67" s="68"/>
      <c r="U67" s="38"/>
      <c r="V67" s="58"/>
      <c r="W67" s="66"/>
      <c r="X67" s="68"/>
      <c r="Y67" s="38"/>
      <c r="Z67" s="58"/>
      <c r="AA67" s="66"/>
      <c r="AB67" s="68"/>
      <c r="AC67" s="38"/>
      <c r="AD67" s="58"/>
      <c r="AE67" s="66"/>
      <c r="AF67" s="68"/>
      <c r="AG67" s="38"/>
      <c r="AH67" s="58"/>
      <c r="AI67" s="66"/>
      <c r="AJ67" s="68"/>
      <c r="AK67" s="38"/>
      <c r="AL67" s="58"/>
      <c r="AM67" s="66"/>
      <c r="AN67" s="68"/>
      <c r="AO67" s="38"/>
      <c r="AP67" s="58"/>
      <c r="AQ67" s="66"/>
      <c r="AR67" s="68"/>
      <c r="AS67" s="38"/>
      <c r="AT67" s="58"/>
      <c r="AU67" s="66"/>
      <c r="AV67" s="68"/>
      <c r="AW67" s="38"/>
      <c r="AX67" s="58"/>
      <c r="AY67" s="66"/>
      <c r="AZ67" s="68"/>
      <c r="BA67" s="55" t="s">
        <v>287</v>
      </c>
      <c r="BB67" s="43">
        <v>80</v>
      </c>
      <c r="BC67" s="70"/>
      <c r="BD67" s="72"/>
    </row>
    <row r="68" spans="1:56" ht="61" customHeight="1" x14ac:dyDescent="0.35">
      <c r="A68" s="62" t="s">
        <v>19</v>
      </c>
      <c r="B68" s="53" t="s">
        <v>288</v>
      </c>
      <c r="C68" s="54" t="s">
        <v>106</v>
      </c>
      <c r="D68" s="53" t="s">
        <v>116</v>
      </c>
      <c r="E68" s="53" t="s">
        <v>289</v>
      </c>
      <c r="F68" s="55" t="s">
        <v>7</v>
      </c>
      <c r="G68" s="53" t="s">
        <v>60</v>
      </c>
      <c r="H68" s="53" t="s">
        <v>56</v>
      </c>
      <c r="I68" s="38"/>
      <c r="J68" s="38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78" t="s">
        <v>116</v>
      </c>
      <c r="BB68" s="79"/>
      <c r="BC68" s="13" t="s">
        <v>121</v>
      </c>
      <c r="BD68" s="13" t="str">
        <f t="shared" ref="BD68" si="2">IF(BC68="SI","SI CUMPLE","NO CUMPLE")</f>
        <v>NO CUMPLE</v>
      </c>
    </row>
    <row r="69" spans="1:56" ht="74.5" customHeight="1" x14ac:dyDescent="0.35">
      <c r="A69" s="77" t="s">
        <v>41</v>
      </c>
      <c r="B69" s="74" t="s">
        <v>42</v>
      </c>
      <c r="C69" s="75">
        <v>0.8</v>
      </c>
      <c r="D69" s="74" t="s">
        <v>112</v>
      </c>
      <c r="E69" s="74" t="s">
        <v>43</v>
      </c>
      <c r="F69" s="76" t="s">
        <v>7</v>
      </c>
      <c r="G69" s="74" t="s">
        <v>60</v>
      </c>
      <c r="H69" s="74" t="s">
        <v>56</v>
      </c>
      <c r="I69" s="38"/>
      <c r="J69" s="58"/>
      <c r="K69" s="65"/>
      <c r="L69" s="67"/>
      <c r="M69" s="38"/>
      <c r="N69" s="58"/>
      <c r="O69" s="65"/>
      <c r="P69" s="67"/>
      <c r="Q69" s="38"/>
      <c r="R69" s="58"/>
      <c r="S69" s="65"/>
      <c r="T69" s="67"/>
      <c r="U69" s="38"/>
      <c r="V69" s="58"/>
      <c r="W69" s="65"/>
      <c r="X69" s="67"/>
      <c r="Y69" s="38"/>
      <c r="Z69" s="58"/>
      <c r="AA69" s="65"/>
      <c r="AB69" s="67"/>
      <c r="AC69" s="38"/>
      <c r="AD69" s="58"/>
      <c r="AE69" s="65"/>
      <c r="AF69" s="67"/>
      <c r="AG69" s="38"/>
      <c r="AH69" s="58"/>
      <c r="AI69" s="65"/>
      <c r="AJ69" s="67"/>
      <c r="AK69" s="38"/>
      <c r="AL69" s="58"/>
      <c r="AM69" s="65"/>
      <c r="AN69" s="67"/>
      <c r="AO69" s="38"/>
      <c r="AP69" s="58"/>
      <c r="AQ69" s="65"/>
      <c r="AR69" s="67"/>
      <c r="AS69" s="38"/>
      <c r="AT69" s="58"/>
      <c r="AU69" s="65"/>
      <c r="AV69" s="67"/>
      <c r="AW69" s="38"/>
      <c r="AX69" s="58"/>
      <c r="AY69" s="65"/>
      <c r="AZ69" s="67"/>
      <c r="BA69" s="55" t="s">
        <v>290</v>
      </c>
      <c r="BB69" s="42">
        <v>7</v>
      </c>
      <c r="BC69" s="69">
        <f>BB69/BB70*100%</f>
        <v>0.7</v>
      </c>
      <c r="BD69" s="71" t="str">
        <f>IF(BC69&gt;=80%,"SI CUMPLE","NO CUMPLE")</f>
        <v>NO CUMPLE</v>
      </c>
    </row>
    <row r="70" spans="1:56" ht="74.5" customHeight="1" x14ac:dyDescent="0.35">
      <c r="A70" s="77"/>
      <c r="B70" s="74"/>
      <c r="C70" s="75"/>
      <c r="D70" s="74"/>
      <c r="E70" s="74"/>
      <c r="F70" s="76"/>
      <c r="G70" s="74"/>
      <c r="H70" s="74"/>
      <c r="I70" s="38"/>
      <c r="J70" s="58"/>
      <c r="K70" s="66"/>
      <c r="L70" s="68"/>
      <c r="M70" s="38"/>
      <c r="N70" s="58"/>
      <c r="O70" s="66"/>
      <c r="P70" s="68"/>
      <c r="Q70" s="38"/>
      <c r="R70" s="58"/>
      <c r="S70" s="66"/>
      <c r="T70" s="68"/>
      <c r="U70" s="38"/>
      <c r="V70" s="58"/>
      <c r="W70" s="66"/>
      <c r="X70" s="68"/>
      <c r="Y70" s="38"/>
      <c r="Z70" s="58"/>
      <c r="AA70" s="66"/>
      <c r="AB70" s="68"/>
      <c r="AC70" s="38"/>
      <c r="AD70" s="58"/>
      <c r="AE70" s="66"/>
      <c r="AF70" s="68"/>
      <c r="AG70" s="38"/>
      <c r="AH70" s="58"/>
      <c r="AI70" s="66"/>
      <c r="AJ70" s="68"/>
      <c r="AK70" s="38"/>
      <c r="AL70" s="58"/>
      <c r="AM70" s="66"/>
      <c r="AN70" s="68"/>
      <c r="AO70" s="38"/>
      <c r="AP70" s="58"/>
      <c r="AQ70" s="66"/>
      <c r="AR70" s="68"/>
      <c r="AS70" s="38"/>
      <c r="AT70" s="58"/>
      <c r="AU70" s="66"/>
      <c r="AV70" s="68"/>
      <c r="AW70" s="38"/>
      <c r="AX70" s="58"/>
      <c r="AY70" s="66"/>
      <c r="AZ70" s="68"/>
      <c r="BA70" s="55" t="s">
        <v>291</v>
      </c>
      <c r="BB70" s="43">
        <v>10</v>
      </c>
      <c r="BC70" s="70"/>
      <c r="BD70" s="72"/>
    </row>
    <row r="71" spans="1:56" ht="61" customHeight="1" x14ac:dyDescent="0.35">
      <c r="A71" s="77" t="s">
        <v>44</v>
      </c>
      <c r="B71" s="74" t="s">
        <v>45</v>
      </c>
      <c r="C71" s="75">
        <v>0.8</v>
      </c>
      <c r="D71" s="74" t="s">
        <v>113</v>
      </c>
      <c r="E71" s="74" t="s">
        <v>46</v>
      </c>
      <c r="F71" s="76" t="s">
        <v>7</v>
      </c>
      <c r="G71" s="74" t="s">
        <v>60</v>
      </c>
      <c r="H71" s="74" t="s">
        <v>56</v>
      </c>
      <c r="I71" s="38"/>
      <c r="J71" s="58"/>
      <c r="K71" s="65"/>
      <c r="L71" s="67"/>
      <c r="M71" s="38"/>
      <c r="N71" s="58"/>
      <c r="O71" s="65"/>
      <c r="P71" s="67"/>
      <c r="Q71" s="38"/>
      <c r="R71" s="58"/>
      <c r="S71" s="65"/>
      <c r="T71" s="67"/>
      <c r="U71" s="38"/>
      <c r="V71" s="58"/>
      <c r="W71" s="65"/>
      <c r="X71" s="67"/>
      <c r="Y71" s="38"/>
      <c r="Z71" s="58"/>
      <c r="AA71" s="65"/>
      <c r="AB71" s="67"/>
      <c r="AC71" s="38"/>
      <c r="AD71" s="58"/>
      <c r="AE71" s="65"/>
      <c r="AF71" s="67"/>
      <c r="AG71" s="38"/>
      <c r="AH71" s="58"/>
      <c r="AI71" s="65"/>
      <c r="AJ71" s="67"/>
      <c r="AK71" s="38"/>
      <c r="AL71" s="58"/>
      <c r="AM71" s="65"/>
      <c r="AN71" s="67"/>
      <c r="AO71" s="38"/>
      <c r="AP71" s="58"/>
      <c r="AQ71" s="65"/>
      <c r="AR71" s="67"/>
      <c r="AS71" s="38"/>
      <c r="AT71" s="58"/>
      <c r="AU71" s="65"/>
      <c r="AV71" s="67"/>
      <c r="AW71" s="38"/>
      <c r="AX71" s="58"/>
      <c r="AY71" s="65"/>
      <c r="AZ71" s="67"/>
      <c r="BA71" s="55" t="s">
        <v>293</v>
      </c>
      <c r="BB71" s="42">
        <v>18</v>
      </c>
      <c r="BC71" s="69">
        <f>BB71/BB72*100%</f>
        <v>0.9</v>
      </c>
      <c r="BD71" s="71" t="str">
        <f>IF(BC71&gt;=80%,"SI CUMPLE","NO CUMPLE")</f>
        <v>SI CUMPLE</v>
      </c>
    </row>
    <row r="72" spans="1:56" ht="61" customHeight="1" x14ac:dyDescent="0.35">
      <c r="A72" s="77"/>
      <c r="B72" s="74"/>
      <c r="C72" s="75"/>
      <c r="D72" s="74"/>
      <c r="E72" s="74"/>
      <c r="F72" s="76"/>
      <c r="G72" s="74"/>
      <c r="H72" s="74"/>
      <c r="I72" s="38"/>
      <c r="J72" s="58"/>
      <c r="K72" s="66"/>
      <c r="L72" s="68"/>
      <c r="M72" s="38"/>
      <c r="N72" s="58"/>
      <c r="O72" s="66"/>
      <c r="P72" s="68"/>
      <c r="Q72" s="38"/>
      <c r="R72" s="58"/>
      <c r="S72" s="66"/>
      <c r="T72" s="68"/>
      <c r="U72" s="38"/>
      <c r="V72" s="58"/>
      <c r="W72" s="66"/>
      <c r="X72" s="68"/>
      <c r="Y72" s="38"/>
      <c r="Z72" s="58"/>
      <c r="AA72" s="66"/>
      <c r="AB72" s="68"/>
      <c r="AC72" s="38"/>
      <c r="AD72" s="58"/>
      <c r="AE72" s="66"/>
      <c r="AF72" s="68"/>
      <c r="AG72" s="38"/>
      <c r="AH72" s="58"/>
      <c r="AI72" s="66"/>
      <c r="AJ72" s="68"/>
      <c r="AK72" s="38"/>
      <c r="AL72" s="58"/>
      <c r="AM72" s="66"/>
      <c r="AN72" s="68"/>
      <c r="AO72" s="38"/>
      <c r="AP72" s="58"/>
      <c r="AQ72" s="66"/>
      <c r="AR72" s="68"/>
      <c r="AS72" s="38"/>
      <c r="AT72" s="58"/>
      <c r="AU72" s="66"/>
      <c r="AV72" s="68"/>
      <c r="AW72" s="38"/>
      <c r="AX72" s="58"/>
      <c r="AY72" s="66"/>
      <c r="AZ72" s="68"/>
      <c r="BA72" s="55" t="s">
        <v>292</v>
      </c>
      <c r="BB72" s="43">
        <v>20</v>
      </c>
      <c r="BC72" s="70"/>
      <c r="BD72" s="72"/>
    </row>
    <row r="73" spans="1:56" ht="61" customHeight="1" x14ac:dyDescent="0.35">
      <c r="A73" s="77" t="s">
        <v>76</v>
      </c>
      <c r="B73" s="74" t="s">
        <v>47</v>
      </c>
      <c r="C73" s="75">
        <v>1</v>
      </c>
      <c r="D73" s="74" t="s">
        <v>294</v>
      </c>
      <c r="E73" s="74" t="s">
        <v>48</v>
      </c>
      <c r="F73" s="76" t="s">
        <v>7</v>
      </c>
      <c r="G73" s="74" t="s">
        <v>60</v>
      </c>
      <c r="H73" s="74" t="s">
        <v>56</v>
      </c>
      <c r="I73" s="38"/>
      <c r="J73" s="58"/>
      <c r="K73" s="65"/>
      <c r="L73" s="67"/>
      <c r="M73" s="38"/>
      <c r="N73" s="58"/>
      <c r="O73" s="65"/>
      <c r="P73" s="67"/>
      <c r="Q73" s="38"/>
      <c r="R73" s="58"/>
      <c r="S73" s="65"/>
      <c r="T73" s="67"/>
      <c r="U73" s="38"/>
      <c r="V73" s="58"/>
      <c r="W73" s="65"/>
      <c r="X73" s="67"/>
      <c r="Y73" s="38"/>
      <c r="Z73" s="58"/>
      <c r="AA73" s="65"/>
      <c r="AB73" s="67"/>
      <c r="AC73" s="38"/>
      <c r="AD73" s="58"/>
      <c r="AE73" s="65"/>
      <c r="AF73" s="67"/>
      <c r="AG73" s="38"/>
      <c r="AH73" s="58"/>
      <c r="AI73" s="65"/>
      <c r="AJ73" s="67"/>
      <c r="AK73" s="38"/>
      <c r="AL73" s="58"/>
      <c r="AM73" s="65"/>
      <c r="AN73" s="67"/>
      <c r="AO73" s="38"/>
      <c r="AP73" s="58"/>
      <c r="AQ73" s="65"/>
      <c r="AR73" s="67"/>
      <c r="AS73" s="38"/>
      <c r="AT73" s="58"/>
      <c r="AU73" s="65"/>
      <c r="AV73" s="67"/>
      <c r="AW73" s="38"/>
      <c r="AX73" s="58"/>
      <c r="AY73" s="65"/>
      <c r="AZ73" s="67"/>
      <c r="BA73" s="55" t="s">
        <v>295</v>
      </c>
      <c r="BB73" s="42">
        <v>2</v>
      </c>
      <c r="BC73" s="69">
        <f>BB73/BB74*100%</f>
        <v>1</v>
      </c>
      <c r="BD73" s="71" t="str">
        <f>IF(BC73=100%,"SI CUMPLE","NO CUMPLE")</f>
        <v>SI CUMPLE</v>
      </c>
    </row>
    <row r="74" spans="1:56" ht="61" customHeight="1" x14ac:dyDescent="0.35">
      <c r="A74" s="77"/>
      <c r="B74" s="74"/>
      <c r="C74" s="75"/>
      <c r="D74" s="74"/>
      <c r="E74" s="74"/>
      <c r="F74" s="76"/>
      <c r="G74" s="74"/>
      <c r="H74" s="74"/>
      <c r="I74" s="38"/>
      <c r="J74" s="58"/>
      <c r="K74" s="66"/>
      <c r="L74" s="68"/>
      <c r="M74" s="38"/>
      <c r="N74" s="58"/>
      <c r="O74" s="66"/>
      <c r="P74" s="68"/>
      <c r="Q74" s="38"/>
      <c r="R74" s="58"/>
      <c r="S74" s="66"/>
      <c r="T74" s="68"/>
      <c r="U74" s="38"/>
      <c r="V74" s="58"/>
      <c r="W74" s="66"/>
      <c r="X74" s="68"/>
      <c r="Y74" s="38"/>
      <c r="Z74" s="58"/>
      <c r="AA74" s="66"/>
      <c r="AB74" s="68"/>
      <c r="AC74" s="38"/>
      <c r="AD74" s="58"/>
      <c r="AE74" s="66"/>
      <c r="AF74" s="68"/>
      <c r="AG74" s="38"/>
      <c r="AH74" s="58"/>
      <c r="AI74" s="66"/>
      <c r="AJ74" s="68"/>
      <c r="AK74" s="38"/>
      <c r="AL74" s="58"/>
      <c r="AM74" s="66"/>
      <c r="AN74" s="68"/>
      <c r="AO74" s="38"/>
      <c r="AP74" s="58"/>
      <c r="AQ74" s="66"/>
      <c r="AR74" s="68"/>
      <c r="AS74" s="38"/>
      <c r="AT74" s="58"/>
      <c r="AU74" s="66"/>
      <c r="AV74" s="68"/>
      <c r="AW74" s="38"/>
      <c r="AX74" s="58"/>
      <c r="AY74" s="66"/>
      <c r="AZ74" s="68"/>
      <c r="BA74" s="55" t="s">
        <v>296</v>
      </c>
      <c r="BB74" s="43">
        <v>2</v>
      </c>
      <c r="BC74" s="70"/>
      <c r="BD74" s="72"/>
    </row>
    <row r="75" spans="1:56" ht="61" customHeight="1" x14ac:dyDescent="0.35">
      <c r="A75" s="62" t="s">
        <v>77</v>
      </c>
      <c r="B75" s="53" t="s">
        <v>81</v>
      </c>
      <c r="C75" s="6" t="s">
        <v>83</v>
      </c>
      <c r="D75" s="53" t="s">
        <v>298</v>
      </c>
      <c r="E75" s="53" t="s">
        <v>297</v>
      </c>
      <c r="F75" s="55" t="s">
        <v>7</v>
      </c>
      <c r="G75" s="53" t="s">
        <v>60</v>
      </c>
      <c r="H75" s="53" t="s">
        <v>56</v>
      </c>
      <c r="I75" s="38"/>
      <c r="J75" s="38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78" t="s">
        <v>301</v>
      </c>
      <c r="BB75" s="79"/>
      <c r="BC75" s="13" t="s">
        <v>121</v>
      </c>
      <c r="BD75" s="13" t="str">
        <f t="shared" ref="BD75" si="3">IF(BC75="SI","SI CUMPLE","NO CUMPLE")</f>
        <v>NO CUMPLE</v>
      </c>
    </row>
    <row r="76" spans="1:56" ht="61" customHeight="1" x14ac:dyDescent="0.35">
      <c r="A76" s="62" t="s">
        <v>78</v>
      </c>
      <c r="B76" s="53" t="s">
        <v>299</v>
      </c>
      <c r="C76" s="6" t="s">
        <v>83</v>
      </c>
      <c r="D76" s="53" t="s">
        <v>300</v>
      </c>
      <c r="E76" s="53" t="s">
        <v>80</v>
      </c>
      <c r="F76" s="55" t="s">
        <v>7</v>
      </c>
      <c r="G76" s="53" t="s">
        <v>60</v>
      </c>
      <c r="H76" s="53" t="s">
        <v>56</v>
      </c>
      <c r="I76" s="38"/>
      <c r="J76" s="38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78" t="s">
        <v>300</v>
      </c>
      <c r="BB76" s="79"/>
      <c r="BC76" s="13" t="s">
        <v>121</v>
      </c>
      <c r="BD76" s="13" t="str">
        <f t="shared" ref="BD76" si="4">IF(BC76="SI","SI CUMPLE","NO CUMPLE")</f>
        <v>NO CUMPLE</v>
      </c>
    </row>
    <row r="77" spans="1:56" ht="61" customHeight="1" x14ac:dyDescent="0.35">
      <c r="A77" s="62" t="s">
        <v>79</v>
      </c>
      <c r="B77" s="53" t="s">
        <v>82</v>
      </c>
      <c r="C77" s="6" t="s">
        <v>83</v>
      </c>
      <c r="D77" s="53" t="s">
        <v>302</v>
      </c>
      <c r="E77" s="53" t="s">
        <v>303</v>
      </c>
      <c r="F77" s="55" t="s">
        <v>7</v>
      </c>
      <c r="G77" s="53" t="s">
        <v>60</v>
      </c>
      <c r="H77" s="53" t="s">
        <v>56</v>
      </c>
      <c r="I77" s="38"/>
      <c r="J77" s="38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78" t="s">
        <v>302</v>
      </c>
      <c r="BB77" s="79"/>
      <c r="BC77" s="13" t="s">
        <v>121</v>
      </c>
      <c r="BD77" s="13" t="str">
        <f t="shared" ref="BD77" si="5">IF(BC77="SI","SI CUMPLE","NO CUMPLE")</f>
        <v>NO CUMPLE</v>
      </c>
    </row>
    <row r="78" spans="1:56" ht="61" customHeight="1" x14ac:dyDescent="0.35"/>
    <row r="79" spans="1:56" ht="61" customHeight="1" x14ac:dyDescent="0.35"/>
    <row r="80" spans="1:56" ht="61" customHeight="1" x14ac:dyDescent="0.35"/>
    <row r="81" ht="61" customHeight="1" x14ac:dyDescent="0.35"/>
    <row r="82" ht="61" customHeight="1" x14ac:dyDescent="0.35"/>
    <row r="83" ht="61" customHeight="1" x14ac:dyDescent="0.35"/>
    <row r="84" ht="61" customHeight="1" x14ac:dyDescent="0.35"/>
    <row r="85" ht="61" customHeight="1" x14ac:dyDescent="0.35"/>
    <row r="86" ht="61" customHeight="1" x14ac:dyDescent="0.35"/>
    <row r="87" ht="61" customHeight="1" x14ac:dyDescent="0.35"/>
    <row r="88" ht="61" customHeight="1" x14ac:dyDescent="0.35"/>
    <row r="89" ht="61" customHeight="1" x14ac:dyDescent="0.35"/>
    <row r="90" ht="61" customHeight="1" x14ac:dyDescent="0.35"/>
    <row r="91" ht="61" customHeight="1" x14ac:dyDescent="0.35"/>
    <row r="92" ht="61" customHeight="1" x14ac:dyDescent="0.35"/>
    <row r="93" ht="61" customHeight="1" x14ac:dyDescent="0.35"/>
    <row r="94" ht="61" customHeight="1" x14ac:dyDescent="0.35"/>
    <row r="95" ht="61" customHeight="1" x14ac:dyDescent="0.35"/>
    <row r="96" ht="61" customHeight="1" x14ac:dyDescent="0.35"/>
    <row r="97" ht="61" customHeight="1" x14ac:dyDescent="0.35"/>
    <row r="98" ht="61" customHeight="1" x14ac:dyDescent="0.35"/>
    <row r="99" ht="61" customHeight="1" x14ac:dyDescent="0.35"/>
    <row r="100" ht="61" customHeight="1" x14ac:dyDescent="0.35"/>
  </sheetData>
  <mergeCells count="875">
    <mergeCell ref="BA77:BB77"/>
    <mergeCell ref="I2:BD3"/>
    <mergeCell ref="I20:BD21"/>
    <mergeCell ref="I59:BD60"/>
    <mergeCell ref="AV73:AV74"/>
    <mergeCell ref="AY73:AY74"/>
    <mergeCell ref="AZ73:AZ74"/>
    <mergeCell ref="BC73:BC74"/>
    <mergeCell ref="BD73:BD74"/>
    <mergeCell ref="BA75:BB75"/>
    <mergeCell ref="BA76:BB76"/>
    <mergeCell ref="AU71:AU72"/>
    <mergeCell ref="AV71:AV72"/>
    <mergeCell ref="AY71:AY72"/>
    <mergeCell ref="AZ71:AZ72"/>
    <mergeCell ref="BC71:BC72"/>
    <mergeCell ref="BD71:BD72"/>
    <mergeCell ref="S73:S74"/>
    <mergeCell ref="T73:T74"/>
    <mergeCell ref="W73:W74"/>
    <mergeCell ref="X73:X74"/>
    <mergeCell ref="AA73:AA74"/>
    <mergeCell ref="AB73:AB74"/>
    <mergeCell ref="AE73:AE74"/>
    <mergeCell ref="E73:E74"/>
    <mergeCell ref="D73:D74"/>
    <mergeCell ref="C73:C74"/>
    <mergeCell ref="B73:B74"/>
    <mergeCell ref="A73:A74"/>
    <mergeCell ref="K73:K74"/>
    <mergeCell ref="L73:L74"/>
    <mergeCell ref="O73:O74"/>
    <mergeCell ref="P73:P74"/>
    <mergeCell ref="G73:G74"/>
    <mergeCell ref="H73:H74"/>
    <mergeCell ref="F73:F74"/>
    <mergeCell ref="AF73:AF74"/>
    <mergeCell ref="AI73:AI74"/>
    <mergeCell ref="AJ73:AJ74"/>
    <mergeCell ref="AM73:AM74"/>
    <mergeCell ref="AN73:AN74"/>
    <mergeCell ref="AQ73:AQ74"/>
    <mergeCell ref="AR73:AR74"/>
    <mergeCell ref="AU73:AU74"/>
    <mergeCell ref="AB71:AB72"/>
    <mergeCell ref="AE71:AE72"/>
    <mergeCell ref="AF71:AF72"/>
    <mergeCell ref="AI71:AI72"/>
    <mergeCell ref="AJ71:AJ72"/>
    <mergeCell ref="AM71:AM72"/>
    <mergeCell ref="AN71:AN72"/>
    <mergeCell ref="AQ71:AQ72"/>
    <mergeCell ref="AR71:AR72"/>
    <mergeCell ref="K71:K72"/>
    <mergeCell ref="L71:L72"/>
    <mergeCell ref="O71:O72"/>
    <mergeCell ref="P71:P72"/>
    <mergeCell ref="S71:S72"/>
    <mergeCell ref="T71:T72"/>
    <mergeCell ref="W71:W72"/>
    <mergeCell ref="X71:X72"/>
    <mergeCell ref="AA71:AA72"/>
    <mergeCell ref="A69:A70"/>
    <mergeCell ref="G71:G72"/>
    <mergeCell ref="H71:H72"/>
    <mergeCell ref="F71:F72"/>
    <mergeCell ref="C71:C72"/>
    <mergeCell ref="E71:E72"/>
    <mergeCell ref="D71:D72"/>
    <mergeCell ref="B71:B72"/>
    <mergeCell ref="A71:A72"/>
    <mergeCell ref="BC69:BC70"/>
    <mergeCell ref="BD69:BD70"/>
    <mergeCell ref="H69:H70"/>
    <mergeCell ref="G69:G70"/>
    <mergeCell ref="F69:F70"/>
    <mergeCell ref="E69:E70"/>
    <mergeCell ref="D69:D70"/>
    <mergeCell ref="C69:C70"/>
    <mergeCell ref="B69:B70"/>
    <mergeCell ref="BA68:BB68"/>
    <mergeCell ref="K69:K70"/>
    <mergeCell ref="L69:L70"/>
    <mergeCell ref="O69:O70"/>
    <mergeCell ref="P69:P70"/>
    <mergeCell ref="S69:S70"/>
    <mergeCell ref="T69:T70"/>
    <mergeCell ref="W69:W70"/>
    <mergeCell ref="X69:X70"/>
    <mergeCell ref="AA69:AA70"/>
    <mergeCell ref="AB69:AB70"/>
    <mergeCell ref="AE69:AE70"/>
    <mergeCell ref="AF69:AF70"/>
    <mergeCell ref="AI69:AI70"/>
    <mergeCell ref="AJ69:AJ70"/>
    <mergeCell ref="AM69:AM70"/>
    <mergeCell ref="AN69:AN70"/>
    <mergeCell ref="AQ69:AQ70"/>
    <mergeCell ref="AR69:AR70"/>
    <mergeCell ref="AU69:AU70"/>
    <mergeCell ref="AV69:AV70"/>
    <mergeCell ref="AY69:AY70"/>
    <mergeCell ref="AZ69:AZ70"/>
    <mergeCell ref="AU66:AU67"/>
    <mergeCell ref="AV66:AV67"/>
    <mergeCell ref="AY66:AY67"/>
    <mergeCell ref="AZ66:AZ67"/>
    <mergeCell ref="BC66:BC67"/>
    <mergeCell ref="BD66:BD67"/>
    <mergeCell ref="AU64:AU65"/>
    <mergeCell ref="AV64:AV65"/>
    <mergeCell ref="AY64:AY65"/>
    <mergeCell ref="AZ64:AZ65"/>
    <mergeCell ref="BC64:BC65"/>
    <mergeCell ref="BD64:BD65"/>
    <mergeCell ref="K66:K67"/>
    <mergeCell ref="L66:L67"/>
    <mergeCell ref="O66:O67"/>
    <mergeCell ref="P66:P67"/>
    <mergeCell ref="S66:S67"/>
    <mergeCell ref="T66:T67"/>
    <mergeCell ref="W66:W67"/>
    <mergeCell ref="X66:X67"/>
    <mergeCell ref="AA66:AA67"/>
    <mergeCell ref="AB66:AB67"/>
    <mergeCell ref="AE66:AE67"/>
    <mergeCell ref="AF66:AF67"/>
    <mergeCell ref="AI66:AI67"/>
    <mergeCell ref="AJ66:AJ67"/>
    <mergeCell ref="AM66:AM67"/>
    <mergeCell ref="AN66:AN67"/>
    <mergeCell ref="AQ66:AQ67"/>
    <mergeCell ref="AR66:AR67"/>
    <mergeCell ref="AB64:AB65"/>
    <mergeCell ref="AE64:AE65"/>
    <mergeCell ref="AF64:AF65"/>
    <mergeCell ref="AI64:AI65"/>
    <mergeCell ref="AJ64:AJ65"/>
    <mergeCell ref="AM64:AM65"/>
    <mergeCell ref="AN64:AN65"/>
    <mergeCell ref="AQ64:AQ65"/>
    <mergeCell ref="AR64:AR65"/>
    <mergeCell ref="K64:K65"/>
    <mergeCell ref="L64:L65"/>
    <mergeCell ref="O64:O65"/>
    <mergeCell ref="P64:P65"/>
    <mergeCell ref="S64:S65"/>
    <mergeCell ref="T64:T65"/>
    <mergeCell ref="W64:W65"/>
    <mergeCell ref="X64:X65"/>
    <mergeCell ref="AA64:AA65"/>
    <mergeCell ref="G64:G65"/>
    <mergeCell ref="H64:H65"/>
    <mergeCell ref="F64:F65"/>
    <mergeCell ref="E64:E65"/>
    <mergeCell ref="D64:D65"/>
    <mergeCell ref="C64:C65"/>
    <mergeCell ref="B64:B65"/>
    <mergeCell ref="H66:H67"/>
    <mergeCell ref="G66:G67"/>
    <mergeCell ref="F66:F67"/>
    <mergeCell ref="E66:E67"/>
    <mergeCell ref="D66:D67"/>
    <mergeCell ref="C66:C67"/>
    <mergeCell ref="B66:B67"/>
    <mergeCell ref="A64:A67"/>
    <mergeCell ref="BC62:BC63"/>
    <mergeCell ref="BD62:BD63"/>
    <mergeCell ref="K62:K63"/>
    <mergeCell ref="L62:L63"/>
    <mergeCell ref="O62:O63"/>
    <mergeCell ref="P62:P63"/>
    <mergeCell ref="S62:S63"/>
    <mergeCell ref="T62:T63"/>
    <mergeCell ref="W62:W63"/>
    <mergeCell ref="X62:X63"/>
    <mergeCell ref="AA62:AA63"/>
    <mergeCell ref="AB62:AB63"/>
    <mergeCell ref="AE62:AE63"/>
    <mergeCell ref="AF62:AF63"/>
    <mergeCell ref="AI62:AI63"/>
    <mergeCell ref="AJ62:AJ63"/>
    <mergeCell ref="AM62:AM63"/>
    <mergeCell ref="AN62:AN63"/>
    <mergeCell ref="AQ62:AQ63"/>
    <mergeCell ref="AR62:AR63"/>
    <mergeCell ref="AU62:AU63"/>
    <mergeCell ref="AV62:AV63"/>
    <mergeCell ref="AY62:AY63"/>
    <mergeCell ref="AZ62:AZ63"/>
    <mergeCell ref="AS61:AT61"/>
    <mergeCell ref="AW61:AX61"/>
    <mergeCell ref="BA61:BB61"/>
    <mergeCell ref="A62:A63"/>
    <mergeCell ref="B62:B63"/>
    <mergeCell ref="C62:C63"/>
    <mergeCell ref="D62:D63"/>
    <mergeCell ref="E62:E63"/>
    <mergeCell ref="F62:F63"/>
    <mergeCell ref="G62:G63"/>
    <mergeCell ref="H62:H63"/>
    <mergeCell ref="I61:J61"/>
    <mergeCell ref="M61:N61"/>
    <mergeCell ref="Q61:R61"/>
    <mergeCell ref="U61:V61"/>
    <mergeCell ref="Y61:Z61"/>
    <mergeCell ref="AC61:AD61"/>
    <mergeCell ref="AG61:AH61"/>
    <mergeCell ref="AK61:AL61"/>
    <mergeCell ref="AO61:AP61"/>
    <mergeCell ref="A59:H60"/>
    <mergeCell ref="BA18:BB18"/>
    <mergeCell ref="BA16:BB16"/>
    <mergeCell ref="BA17:BB17"/>
    <mergeCell ref="BA13:BB13"/>
    <mergeCell ref="BA14:BB14"/>
    <mergeCell ref="BA15:BB15"/>
    <mergeCell ref="BC11:BC12"/>
    <mergeCell ref="BD11:BD12"/>
    <mergeCell ref="A11:A12"/>
    <mergeCell ref="B11:B12"/>
    <mergeCell ref="C11:C12"/>
    <mergeCell ref="D11:D12"/>
    <mergeCell ref="E11:E12"/>
    <mergeCell ref="F11:F12"/>
    <mergeCell ref="G11:G12"/>
    <mergeCell ref="H11:H12"/>
    <mergeCell ref="AR11:AR12"/>
    <mergeCell ref="AU11:AU12"/>
    <mergeCell ref="AV11:AV12"/>
    <mergeCell ref="AY11:AY12"/>
    <mergeCell ref="AZ11:AZ12"/>
    <mergeCell ref="AI11:AI12"/>
    <mergeCell ref="AJ11:AJ12"/>
    <mergeCell ref="AM11:AM12"/>
    <mergeCell ref="AN11:AN12"/>
    <mergeCell ref="AQ11:AQ12"/>
    <mergeCell ref="BD7:BD8"/>
    <mergeCell ref="BA9:BB9"/>
    <mergeCell ref="BA10:BB10"/>
    <mergeCell ref="K11:K12"/>
    <mergeCell ref="L11:L12"/>
    <mergeCell ref="O11:O12"/>
    <mergeCell ref="P11:P12"/>
    <mergeCell ref="S11:S12"/>
    <mergeCell ref="T11:T12"/>
    <mergeCell ref="W11:W12"/>
    <mergeCell ref="X11:X12"/>
    <mergeCell ref="AA11:AA12"/>
    <mergeCell ref="AB11:AB12"/>
    <mergeCell ref="AE11:AE12"/>
    <mergeCell ref="AF11:AF12"/>
    <mergeCell ref="AU7:AU8"/>
    <mergeCell ref="AV7:AV8"/>
    <mergeCell ref="AY7:AY8"/>
    <mergeCell ref="AZ7:AZ8"/>
    <mergeCell ref="BC7:BC8"/>
    <mergeCell ref="AJ7:AJ8"/>
    <mergeCell ref="AM7:AM8"/>
    <mergeCell ref="AB7:AB8"/>
    <mergeCell ref="AE7:AE8"/>
    <mergeCell ref="AF7:AF8"/>
    <mergeCell ref="AI7:AI8"/>
    <mergeCell ref="P7:P8"/>
    <mergeCell ref="S7:S8"/>
    <mergeCell ref="T7:T8"/>
    <mergeCell ref="W7:W8"/>
    <mergeCell ref="X7:X8"/>
    <mergeCell ref="AA7:AA8"/>
    <mergeCell ref="BC5:BC6"/>
    <mergeCell ref="BD5:BD6"/>
    <mergeCell ref="AY5:AY6"/>
    <mergeCell ref="AZ5:AZ6"/>
    <mergeCell ref="AU5:AU6"/>
    <mergeCell ref="AV5:AV6"/>
    <mergeCell ref="A5:A8"/>
    <mergeCell ref="K7:K8"/>
    <mergeCell ref="L7:L8"/>
    <mergeCell ref="O7:O8"/>
    <mergeCell ref="F7:F8"/>
    <mergeCell ref="G7:G8"/>
    <mergeCell ref="H7:H8"/>
    <mergeCell ref="B7:B8"/>
    <mergeCell ref="C7:C8"/>
    <mergeCell ref="D7:D8"/>
    <mergeCell ref="E7:E8"/>
    <mergeCell ref="B5:B6"/>
    <mergeCell ref="C5:C6"/>
    <mergeCell ref="D5:D6"/>
    <mergeCell ref="E5:E6"/>
    <mergeCell ref="AN7:AN8"/>
    <mergeCell ref="AQ7:AQ8"/>
    <mergeCell ref="AR7:AR8"/>
    <mergeCell ref="B1:H1"/>
    <mergeCell ref="A2:H3"/>
    <mergeCell ref="BA4:BB4"/>
    <mergeCell ref="I4:J4"/>
    <mergeCell ref="M4:N4"/>
    <mergeCell ref="Q4:R4"/>
    <mergeCell ref="U4:V4"/>
    <mergeCell ref="Y4:Z4"/>
    <mergeCell ref="AC4:AD4"/>
    <mergeCell ref="AG4:AH4"/>
    <mergeCell ref="AK4:AL4"/>
    <mergeCell ref="AO4:AP4"/>
    <mergeCell ref="AS4:AT4"/>
    <mergeCell ref="AW4:AX4"/>
    <mergeCell ref="I1:J1"/>
    <mergeCell ref="AQ5:AQ6"/>
    <mergeCell ref="AR5:AR6"/>
    <mergeCell ref="AM5:AM6"/>
    <mergeCell ref="AN5:AN6"/>
    <mergeCell ref="AI5:AI6"/>
    <mergeCell ref="AJ5:AJ6"/>
    <mergeCell ref="F5:F6"/>
    <mergeCell ref="AA5:AA6"/>
    <mergeCell ref="AB5:AB6"/>
    <mergeCell ref="W5:W6"/>
    <mergeCell ref="X5:X6"/>
    <mergeCell ref="S5:S6"/>
    <mergeCell ref="T5:T6"/>
    <mergeCell ref="G5:G6"/>
    <mergeCell ref="H5:H6"/>
    <mergeCell ref="AE5:AE6"/>
    <mergeCell ref="AF5:AF6"/>
    <mergeCell ref="O5:O6"/>
    <mergeCell ref="P5:P6"/>
    <mergeCell ref="K5:K6"/>
    <mergeCell ref="L5:L6"/>
    <mergeCell ref="A20:H21"/>
    <mergeCell ref="I22:J22"/>
    <mergeCell ref="M22:N22"/>
    <mergeCell ref="Q22:R22"/>
    <mergeCell ref="U22:V22"/>
    <mergeCell ref="Y22:Z22"/>
    <mergeCell ref="AC22:AD22"/>
    <mergeCell ref="AG22:AH22"/>
    <mergeCell ref="AK22:AL22"/>
    <mergeCell ref="AO22:AP22"/>
    <mergeCell ref="AS22:AT22"/>
    <mergeCell ref="AW22:AX22"/>
    <mergeCell ref="BA22:BB22"/>
    <mergeCell ref="L23:L24"/>
    <mergeCell ref="O23:O24"/>
    <mergeCell ref="P23:P24"/>
    <mergeCell ref="S23:S24"/>
    <mergeCell ref="T23:T24"/>
    <mergeCell ref="W23:W24"/>
    <mergeCell ref="X23:X24"/>
    <mergeCell ref="AA23:AA24"/>
    <mergeCell ref="AU23:AU24"/>
    <mergeCell ref="AV23:AV24"/>
    <mergeCell ref="AY23:AY24"/>
    <mergeCell ref="AZ23:AZ24"/>
    <mergeCell ref="BC23:BC24"/>
    <mergeCell ref="BD23:BD24"/>
    <mergeCell ref="A23:A24"/>
    <mergeCell ref="B23:B24"/>
    <mergeCell ref="C23:C24"/>
    <mergeCell ref="D23:D24"/>
    <mergeCell ref="E23:E24"/>
    <mergeCell ref="F23:F24"/>
    <mergeCell ref="G23:G24"/>
    <mergeCell ref="H23:H24"/>
    <mergeCell ref="AB23:AB24"/>
    <mergeCell ref="AE23:AE24"/>
    <mergeCell ref="AF23:AF24"/>
    <mergeCell ref="AI23:AI24"/>
    <mergeCell ref="AJ23:AJ24"/>
    <mergeCell ref="AM23:AM24"/>
    <mergeCell ref="AN23:AN24"/>
    <mergeCell ref="AQ23:AQ24"/>
    <mergeCell ref="AR23:AR24"/>
    <mergeCell ref="K23:K24"/>
    <mergeCell ref="H25:H26"/>
    <mergeCell ref="G25:G26"/>
    <mergeCell ref="B25:B26"/>
    <mergeCell ref="A25:A26"/>
    <mergeCell ref="C25:C26"/>
    <mergeCell ref="D25:D26"/>
    <mergeCell ref="E25:E26"/>
    <mergeCell ref="F25:F26"/>
    <mergeCell ref="K25:K26"/>
    <mergeCell ref="L25:L26"/>
    <mergeCell ref="O25:O26"/>
    <mergeCell ref="P25:P26"/>
    <mergeCell ref="S25:S26"/>
    <mergeCell ref="T25:T26"/>
    <mergeCell ref="W25:W26"/>
    <mergeCell ref="X25:X26"/>
    <mergeCell ref="AA25:AA26"/>
    <mergeCell ref="AB25:AB26"/>
    <mergeCell ref="AV25:AV26"/>
    <mergeCell ref="AY25:AY26"/>
    <mergeCell ref="AZ25:AZ26"/>
    <mergeCell ref="BC25:BC26"/>
    <mergeCell ref="BD25:BD26"/>
    <mergeCell ref="AE25:AE26"/>
    <mergeCell ref="AF25:AF26"/>
    <mergeCell ref="AI25:AI26"/>
    <mergeCell ref="AJ25:AJ26"/>
    <mergeCell ref="AM25:AM26"/>
    <mergeCell ref="AN25:AN26"/>
    <mergeCell ref="AQ25:AQ26"/>
    <mergeCell ref="AR25:AR26"/>
    <mergeCell ref="AU25:AU26"/>
    <mergeCell ref="G27:G28"/>
    <mergeCell ref="H27:H28"/>
    <mergeCell ref="F27:F28"/>
    <mergeCell ref="E27:E28"/>
    <mergeCell ref="D27:D28"/>
    <mergeCell ref="C27:C28"/>
    <mergeCell ref="B27:B28"/>
    <mergeCell ref="A27:A28"/>
    <mergeCell ref="K27:K28"/>
    <mergeCell ref="L27:L28"/>
    <mergeCell ref="O27:O28"/>
    <mergeCell ref="P27:P28"/>
    <mergeCell ref="S27:S28"/>
    <mergeCell ref="T27:T28"/>
    <mergeCell ref="W27:W28"/>
    <mergeCell ref="X27:X28"/>
    <mergeCell ref="AA27:AA28"/>
    <mergeCell ref="AB27:AB28"/>
    <mergeCell ref="AE27:AE28"/>
    <mergeCell ref="AF27:AF28"/>
    <mergeCell ref="AI27:AI28"/>
    <mergeCell ref="AJ27:AJ28"/>
    <mergeCell ref="AM27:AM28"/>
    <mergeCell ref="AN27:AN28"/>
    <mergeCell ref="AQ27:AQ28"/>
    <mergeCell ref="AR27:AR28"/>
    <mergeCell ref="AU27:AU28"/>
    <mergeCell ref="AV27:AV28"/>
    <mergeCell ref="AY27:AY28"/>
    <mergeCell ref="AZ27:AZ28"/>
    <mergeCell ref="BC27:BC28"/>
    <mergeCell ref="BD27:BD28"/>
    <mergeCell ref="H29:H30"/>
    <mergeCell ref="G29:G30"/>
    <mergeCell ref="F29:F30"/>
    <mergeCell ref="E29:E30"/>
    <mergeCell ref="T29:T30"/>
    <mergeCell ref="W29:W30"/>
    <mergeCell ref="X29:X30"/>
    <mergeCell ref="AA29:AA30"/>
    <mergeCell ref="AB29:AB30"/>
    <mergeCell ref="AE29:AE30"/>
    <mergeCell ref="AF29:AF30"/>
    <mergeCell ref="AI29:AI30"/>
    <mergeCell ref="AJ29:AJ30"/>
    <mergeCell ref="AM29:AM30"/>
    <mergeCell ref="AN29:AN30"/>
    <mergeCell ref="AQ29:AQ30"/>
    <mergeCell ref="AR29:AR30"/>
    <mergeCell ref="AU29:AU30"/>
    <mergeCell ref="AV29:AV30"/>
    <mergeCell ref="AZ29:AZ30"/>
    <mergeCell ref="BC29:BC30"/>
    <mergeCell ref="BD29:BD30"/>
    <mergeCell ref="G31:G32"/>
    <mergeCell ref="H31:H32"/>
    <mergeCell ref="G33:G34"/>
    <mergeCell ref="H33:H34"/>
    <mergeCell ref="C31:C32"/>
    <mergeCell ref="D31:D32"/>
    <mergeCell ref="E31:E32"/>
    <mergeCell ref="F31:F32"/>
    <mergeCell ref="C33:C34"/>
    <mergeCell ref="D33:D34"/>
    <mergeCell ref="E33:E34"/>
    <mergeCell ref="F33:F34"/>
    <mergeCell ref="K31:K32"/>
    <mergeCell ref="L31:L32"/>
    <mergeCell ref="O31:O32"/>
    <mergeCell ref="P31:P32"/>
    <mergeCell ref="S31:S32"/>
    <mergeCell ref="T31:T32"/>
    <mergeCell ref="D29:D30"/>
    <mergeCell ref="C29:C30"/>
    <mergeCell ref="K29:K30"/>
    <mergeCell ref="C35:C36"/>
    <mergeCell ref="D35:D36"/>
    <mergeCell ref="E35:E36"/>
    <mergeCell ref="F35:F36"/>
    <mergeCell ref="G35:G36"/>
    <mergeCell ref="H35:H36"/>
    <mergeCell ref="A31:A36"/>
    <mergeCell ref="B31:B36"/>
    <mergeCell ref="AY29:AY30"/>
    <mergeCell ref="B29:B30"/>
    <mergeCell ref="A29:A30"/>
    <mergeCell ref="L29:L30"/>
    <mergeCell ref="O29:O30"/>
    <mergeCell ref="P29:P30"/>
    <mergeCell ref="S29:S30"/>
    <mergeCell ref="W31:W32"/>
    <mergeCell ref="X31:X32"/>
    <mergeCell ref="AA31:AA32"/>
    <mergeCell ref="AB31:AB32"/>
    <mergeCell ref="AE31:AE32"/>
    <mergeCell ref="AF31:AF32"/>
    <mergeCell ref="AI31:AI32"/>
    <mergeCell ref="AJ31:AJ32"/>
    <mergeCell ref="AM31:AM32"/>
    <mergeCell ref="AN31:AN32"/>
    <mergeCell ref="AQ31:AQ32"/>
    <mergeCell ref="AR31:AR32"/>
    <mergeCell ref="AU31:AU32"/>
    <mergeCell ref="AV31:AV32"/>
    <mergeCell ref="AY31:AY32"/>
    <mergeCell ref="AZ31:AZ32"/>
    <mergeCell ref="BC31:BC32"/>
    <mergeCell ref="BD31:BD32"/>
    <mergeCell ref="K33:K34"/>
    <mergeCell ref="L33:L34"/>
    <mergeCell ref="O33:O34"/>
    <mergeCell ref="P33:P34"/>
    <mergeCell ref="S33:S34"/>
    <mergeCell ref="T33:T34"/>
    <mergeCell ref="W33:W34"/>
    <mergeCell ref="X33:X34"/>
    <mergeCell ref="AA33:AA34"/>
    <mergeCell ref="AB33:AB34"/>
    <mergeCell ref="AE33:AE34"/>
    <mergeCell ref="AF33:AF34"/>
    <mergeCell ref="AI33:AI34"/>
    <mergeCell ref="AJ33:AJ34"/>
    <mergeCell ref="AM33:AM34"/>
    <mergeCell ref="AN33:AN34"/>
    <mergeCell ref="AQ33:AQ34"/>
    <mergeCell ref="AR33:AR34"/>
    <mergeCell ref="BD37:BD38"/>
    <mergeCell ref="AU33:AU34"/>
    <mergeCell ref="AV33:AV34"/>
    <mergeCell ref="AY33:AY34"/>
    <mergeCell ref="AZ33:AZ34"/>
    <mergeCell ref="BC33:BC34"/>
    <mergeCell ref="BD33:BD34"/>
    <mergeCell ref="K35:K36"/>
    <mergeCell ref="L35:L36"/>
    <mergeCell ref="O35:O36"/>
    <mergeCell ref="P35:P36"/>
    <mergeCell ref="S35:S36"/>
    <mergeCell ref="T35:T36"/>
    <mergeCell ref="W35:W36"/>
    <mergeCell ref="X35:X36"/>
    <mergeCell ref="AA35:AA36"/>
    <mergeCell ref="AB35:AB36"/>
    <mergeCell ref="AE35:AE36"/>
    <mergeCell ref="AF35:AF36"/>
    <mergeCell ref="AI35:AI36"/>
    <mergeCell ref="AJ35:AJ36"/>
    <mergeCell ref="AM35:AM36"/>
    <mergeCell ref="AN35:AN36"/>
    <mergeCell ref="AQ35:AQ36"/>
    <mergeCell ref="AV35:AV36"/>
    <mergeCell ref="AY35:AY36"/>
    <mergeCell ref="AZ35:AZ36"/>
    <mergeCell ref="BC35:BC36"/>
    <mergeCell ref="BD35:BD36"/>
    <mergeCell ref="H37:H38"/>
    <mergeCell ref="G37:G38"/>
    <mergeCell ref="F37:F38"/>
    <mergeCell ref="S37:S38"/>
    <mergeCell ref="T37:T38"/>
    <mergeCell ref="W37:W38"/>
    <mergeCell ref="X37:X38"/>
    <mergeCell ref="AA37:AA38"/>
    <mergeCell ref="AB37:AB38"/>
    <mergeCell ref="AE37:AE38"/>
    <mergeCell ref="AF37:AF38"/>
    <mergeCell ref="AI37:AI38"/>
    <mergeCell ref="AJ37:AJ38"/>
    <mergeCell ref="AM37:AM38"/>
    <mergeCell ref="AN37:AN38"/>
    <mergeCell ref="AQ37:AQ38"/>
    <mergeCell ref="AR37:AR38"/>
    <mergeCell ref="AU37:AU38"/>
    <mergeCell ref="BC37:BC38"/>
    <mergeCell ref="E39:E40"/>
    <mergeCell ref="K39:K40"/>
    <mergeCell ref="D37:D38"/>
    <mergeCell ref="E37:E38"/>
    <mergeCell ref="K37:K38"/>
    <mergeCell ref="L37:L38"/>
    <mergeCell ref="O37:O38"/>
    <mergeCell ref="P37:P38"/>
    <mergeCell ref="AU35:AU36"/>
    <mergeCell ref="AR35:AR36"/>
    <mergeCell ref="C37:C38"/>
    <mergeCell ref="B37:B38"/>
    <mergeCell ref="A37:A38"/>
    <mergeCell ref="AM39:AM40"/>
    <mergeCell ref="AN39:AN40"/>
    <mergeCell ref="AQ39:AQ40"/>
    <mergeCell ref="AR39:AR40"/>
    <mergeCell ref="AU39:AU40"/>
    <mergeCell ref="L39:L40"/>
    <mergeCell ref="O39:O40"/>
    <mergeCell ref="P39:P40"/>
    <mergeCell ref="S39:S40"/>
    <mergeCell ref="T39:T40"/>
    <mergeCell ref="W39:W40"/>
    <mergeCell ref="X39:X40"/>
    <mergeCell ref="AA39:AA40"/>
    <mergeCell ref="AB39:AB40"/>
    <mergeCell ref="G39:G40"/>
    <mergeCell ref="H39:H40"/>
    <mergeCell ref="F39:F40"/>
    <mergeCell ref="A39:A40"/>
    <mergeCell ref="B39:B40"/>
    <mergeCell ref="C39:C40"/>
    <mergeCell ref="D39:D40"/>
    <mergeCell ref="AV37:AV38"/>
    <mergeCell ref="AY37:AY38"/>
    <mergeCell ref="AZ37:AZ38"/>
    <mergeCell ref="BD39:BD40"/>
    <mergeCell ref="H41:H42"/>
    <mergeCell ref="G41:G42"/>
    <mergeCell ref="F41:F42"/>
    <mergeCell ref="C41:C42"/>
    <mergeCell ref="T41:T42"/>
    <mergeCell ref="W41:W42"/>
    <mergeCell ref="X41:X42"/>
    <mergeCell ref="AA41:AA42"/>
    <mergeCell ref="AB41:AB42"/>
    <mergeCell ref="AE41:AE42"/>
    <mergeCell ref="AF41:AF42"/>
    <mergeCell ref="AF39:AF40"/>
    <mergeCell ref="AI39:AI40"/>
    <mergeCell ref="AJ39:AJ40"/>
    <mergeCell ref="AN41:AN42"/>
    <mergeCell ref="AQ41:AQ42"/>
    <mergeCell ref="AR41:AR42"/>
    <mergeCell ref="AU41:AU42"/>
    <mergeCell ref="AV41:AV42"/>
    <mergeCell ref="AE39:AE40"/>
    <mergeCell ref="A41:A42"/>
    <mergeCell ref="B41:B42"/>
    <mergeCell ref="D41:D42"/>
    <mergeCell ref="E41:E42"/>
    <mergeCell ref="K41:K42"/>
    <mergeCell ref="L41:L42"/>
    <mergeCell ref="O41:O42"/>
    <mergeCell ref="P41:P42"/>
    <mergeCell ref="S41:S42"/>
    <mergeCell ref="AY39:AY40"/>
    <mergeCell ref="AZ39:AZ40"/>
    <mergeCell ref="BC39:BC40"/>
    <mergeCell ref="AZ41:AZ42"/>
    <mergeCell ref="BC41:BC42"/>
    <mergeCell ref="BD41:BD42"/>
    <mergeCell ref="D43:D44"/>
    <mergeCell ref="E43:E44"/>
    <mergeCell ref="F43:F44"/>
    <mergeCell ref="G43:G44"/>
    <mergeCell ref="H43:H44"/>
    <mergeCell ref="K43:K44"/>
    <mergeCell ref="L43:L44"/>
    <mergeCell ref="O43:O44"/>
    <mergeCell ref="P43:P44"/>
    <mergeCell ref="S43:S44"/>
    <mergeCell ref="T43:T44"/>
    <mergeCell ref="W43:W44"/>
    <mergeCell ref="X43:X44"/>
    <mergeCell ref="AA43:AA44"/>
    <mergeCell ref="AB43:AB44"/>
    <mergeCell ref="AE43:AE44"/>
    <mergeCell ref="AF43:AF44"/>
    <mergeCell ref="AV39:AV40"/>
    <mergeCell ref="BC45:BC46"/>
    <mergeCell ref="BD45:BD46"/>
    <mergeCell ref="BC43:BC44"/>
    <mergeCell ref="BD43:BD44"/>
    <mergeCell ref="AI43:AI44"/>
    <mergeCell ref="AI41:AI42"/>
    <mergeCell ref="AJ41:AJ42"/>
    <mergeCell ref="AM41:AM42"/>
    <mergeCell ref="AJ43:AJ44"/>
    <mergeCell ref="AM43:AM44"/>
    <mergeCell ref="AN43:AN44"/>
    <mergeCell ref="AQ43:AQ44"/>
    <mergeCell ref="AR43:AR44"/>
    <mergeCell ref="AY41:AY42"/>
    <mergeCell ref="L45:L46"/>
    <mergeCell ref="O45:O46"/>
    <mergeCell ref="P45:P46"/>
    <mergeCell ref="AU43:AU44"/>
    <mergeCell ref="AV43:AV44"/>
    <mergeCell ref="AY43:AY44"/>
    <mergeCell ref="AZ43:AZ44"/>
    <mergeCell ref="AY45:AY46"/>
    <mergeCell ref="AZ45:AZ46"/>
    <mergeCell ref="S45:S46"/>
    <mergeCell ref="T45:T46"/>
    <mergeCell ref="W45:W46"/>
    <mergeCell ref="X45:X46"/>
    <mergeCell ref="AA45:AA46"/>
    <mergeCell ref="AB45:AB46"/>
    <mergeCell ref="AE45:AE46"/>
    <mergeCell ref="AF45:AF46"/>
    <mergeCell ref="AI45:AI46"/>
    <mergeCell ref="BD47:BD48"/>
    <mergeCell ref="G47:G48"/>
    <mergeCell ref="H47:H48"/>
    <mergeCell ref="K47:K48"/>
    <mergeCell ref="L47:L48"/>
    <mergeCell ref="O47:O48"/>
    <mergeCell ref="P47:P48"/>
    <mergeCell ref="AR45:AR46"/>
    <mergeCell ref="AU45:AU46"/>
    <mergeCell ref="AV45:AV46"/>
    <mergeCell ref="AJ45:AJ46"/>
    <mergeCell ref="AM45:AM46"/>
    <mergeCell ref="AN45:AN46"/>
    <mergeCell ref="AQ45:AQ46"/>
    <mergeCell ref="S47:S48"/>
    <mergeCell ref="T47:T48"/>
    <mergeCell ref="W47:W48"/>
    <mergeCell ref="X47:X48"/>
    <mergeCell ref="AA47:AA48"/>
    <mergeCell ref="AB47:AB48"/>
    <mergeCell ref="AE47:AE48"/>
    <mergeCell ref="AF47:AF48"/>
    <mergeCell ref="AI47:AI48"/>
    <mergeCell ref="AJ47:AJ48"/>
    <mergeCell ref="L49:L50"/>
    <mergeCell ref="AN47:AN48"/>
    <mergeCell ref="AQ47:AQ48"/>
    <mergeCell ref="AR47:AR48"/>
    <mergeCell ref="AU47:AU48"/>
    <mergeCell ref="AV47:AV48"/>
    <mergeCell ref="AY47:AY48"/>
    <mergeCell ref="AZ47:AZ48"/>
    <mergeCell ref="BC47:BC48"/>
    <mergeCell ref="AM47:AM48"/>
    <mergeCell ref="O49:O50"/>
    <mergeCell ref="P49:P50"/>
    <mergeCell ref="S49:S50"/>
    <mergeCell ref="T49:T50"/>
    <mergeCell ref="W49:W50"/>
    <mergeCell ref="X49:X50"/>
    <mergeCell ref="AA49:AA50"/>
    <mergeCell ref="AB49:AB50"/>
    <mergeCell ref="AE49:AE50"/>
    <mergeCell ref="AF49:AF50"/>
    <mergeCell ref="AI49:AI50"/>
    <mergeCell ref="AJ49:AJ50"/>
    <mergeCell ref="AM49:AM50"/>
    <mergeCell ref="AN49:AN50"/>
    <mergeCell ref="AQ49:AQ50"/>
    <mergeCell ref="AR49:AR50"/>
    <mergeCell ref="AU49:AU50"/>
    <mergeCell ref="AV49:AV50"/>
    <mergeCell ref="AY49:AY50"/>
    <mergeCell ref="AZ49:AZ50"/>
    <mergeCell ref="BC49:BC50"/>
    <mergeCell ref="BD49:BD50"/>
    <mergeCell ref="C43:C44"/>
    <mergeCell ref="C45:C46"/>
    <mergeCell ref="C47:C48"/>
    <mergeCell ref="C49:C50"/>
    <mergeCell ref="C51:C52"/>
    <mergeCell ref="L51:L52"/>
    <mergeCell ref="O51:O52"/>
    <mergeCell ref="P51:P52"/>
    <mergeCell ref="S51:S52"/>
    <mergeCell ref="T51:T52"/>
    <mergeCell ref="W51:W52"/>
    <mergeCell ref="X51:X52"/>
    <mergeCell ref="AA51:AA52"/>
    <mergeCell ref="AU51:AU52"/>
    <mergeCell ref="AV51:AV52"/>
    <mergeCell ref="AY51:AY52"/>
    <mergeCell ref="AZ51:AZ52"/>
    <mergeCell ref="BC51:BC52"/>
    <mergeCell ref="BD51:BD52"/>
    <mergeCell ref="AB51:AB52"/>
    <mergeCell ref="B43:B52"/>
    <mergeCell ref="A43:A52"/>
    <mergeCell ref="F51:F52"/>
    <mergeCell ref="E51:E52"/>
    <mergeCell ref="D51:D52"/>
    <mergeCell ref="D47:D48"/>
    <mergeCell ref="E47:E48"/>
    <mergeCell ref="F47:F48"/>
    <mergeCell ref="K51:K52"/>
    <mergeCell ref="D49:D50"/>
    <mergeCell ref="E49:E50"/>
    <mergeCell ref="F49:F50"/>
    <mergeCell ref="G49:G50"/>
    <mergeCell ref="H49:H50"/>
    <mergeCell ref="G51:G52"/>
    <mergeCell ref="H51:H52"/>
    <mergeCell ref="K49:K50"/>
    <mergeCell ref="D45:D46"/>
    <mergeCell ref="E45:E46"/>
    <mergeCell ref="F45:F46"/>
    <mergeCell ref="G45:G46"/>
    <mergeCell ref="H45:H46"/>
    <mergeCell ref="K45:K46"/>
    <mergeCell ref="AE51:AE52"/>
    <mergeCell ref="AF51:AF52"/>
    <mergeCell ref="AI51:AI52"/>
    <mergeCell ref="AJ51:AJ52"/>
    <mergeCell ref="AM51:AM52"/>
    <mergeCell ref="AN51:AN52"/>
    <mergeCell ref="AQ51:AQ52"/>
    <mergeCell ref="AR51:AR52"/>
    <mergeCell ref="BA53:BB53"/>
    <mergeCell ref="AY54:AY55"/>
    <mergeCell ref="AZ54:AZ55"/>
    <mergeCell ref="BC54:BC55"/>
    <mergeCell ref="BD54:BD55"/>
    <mergeCell ref="A54:A55"/>
    <mergeCell ref="B54:B55"/>
    <mergeCell ref="C54:C55"/>
    <mergeCell ref="D54:D55"/>
    <mergeCell ref="E54:E55"/>
    <mergeCell ref="F54:F55"/>
    <mergeCell ref="G54:G55"/>
    <mergeCell ref="H54:H55"/>
    <mergeCell ref="AE54:AE55"/>
    <mergeCell ref="AF54:AF55"/>
    <mergeCell ref="AI54:AI55"/>
    <mergeCell ref="AJ54:AJ55"/>
    <mergeCell ref="AM54:AM55"/>
    <mergeCell ref="AN54:AN55"/>
    <mergeCell ref="AQ54:AQ55"/>
    <mergeCell ref="AR54:AR55"/>
    <mergeCell ref="AU54:AU55"/>
    <mergeCell ref="K54:K55"/>
    <mergeCell ref="L54:L55"/>
    <mergeCell ref="O54:O55"/>
    <mergeCell ref="P56:P57"/>
    <mergeCell ref="S56:S57"/>
    <mergeCell ref="T56:T57"/>
    <mergeCell ref="W56:W57"/>
    <mergeCell ref="X56:X57"/>
    <mergeCell ref="AA56:AA57"/>
    <mergeCell ref="AV54:AV55"/>
    <mergeCell ref="AU56:AU57"/>
    <mergeCell ref="AV56:AV57"/>
    <mergeCell ref="AB54:AB55"/>
    <mergeCell ref="P54:P55"/>
    <mergeCell ref="S54:S55"/>
    <mergeCell ref="T54:T55"/>
    <mergeCell ref="W54:W55"/>
    <mergeCell ref="X54:X55"/>
    <mergeCell ref="AA54:AA55"/>
    <mergeCell ref="AY56:AY57"/>
    <mergeCell ref="AZ56:AZ57"/>
    <mergeCell ref="BC56:BC57"/>
    <mergeCell ref="BD56:BD57"/>
    <mergeCell ref="A56:A57"/>
    <mergeCell ref="B56:B57"/>
    <mergeCell ref="C56:C57"/>
    <mergeCell ref="D56:D57"/>
    <mergeCell ref="E56:E57"/>
    <mergeCell ref="F56:F57"/>
    <mergeCell ref="G56:G57"/>
    <mergeCell ref="H56:H57"/>
    <mergeCell ref="AB56:AB57"/>
    <mergeCell ref="AE56:AE57"/>
    <mergeCell ref="AF56:AF57"/>
    <mergeCell ref="AI56:AI57"/>
    <mergeCell ref="AJ56:AJ57"/>
    <mergeCell ref="AM56:AM57"/>
    <mergeCell ref="AN56:AN57"/>
    <mergeCell ref="AQ56:AQ57"/>
    <mergeCell ref="AR56:AR57"/>
    <mergeCell ref="K56:K57"/>
    <mergeCell ref="L56:L57"/>
    <mergeCell ref="O56:O57"/>
  </mergeCells>
  <conditionalFormatting sqref="BD5:BD6">
    <cfRule type="containsText" dxfId="407" priority="413" operator="containsText" text="NO CUMPLE">
      <formula>NOT(ISERROR(SEARCH("NO CUMPLE",BD5)))</formula>
    </cfRule>
    <cfRule type="containsText" dxfId="406" priority="414" operator="containsText" text="SI CUMPLE">
      <formula>NOT(ISERROR(SEARCH("SI CUMPLE",BD5)))</formula>
    </cfRule>
  </conditionalFormatting>
  <conditionalFormatting sqref="BD7:BD8">
    <cfRule type="containsText" dxfId="405" priority="411" operator="containsText" text="NO CUMPLE">
      <formula>NOT(ISERROR(SEARCH("NO CUMPLE",BD7)))</formula>
    </cfRule>
    <cfRule type="containsText" dxfId="404" priority="412" operator="containsText" text="SI CUMPLE">
      <formula>NOT(ISERROR(SEARCH("SI CUMPLE",BD7)))</formula>
    </cfRule>
  </conditionalFormatting>
  <conditionalFormatting sqref="BD9">
    <cfRule type="containsText" dxfId="403" priority="409" operator="containsText" text="NO CUMPLE">
      <formula>NOT(ISERROR(SEARCH("NO CUMPLE",BD9)))</formula>
    </cfRule>
    <cfRule type="containsText" dxfId="402" priority="410" operator="containsText" text="SI CUMPLE">
      <formula>NOT(ISERROR(SEARCH("SI CUMPLE",BD9)))</formula>
    </cfRule>
  </conditionalFormatting>
  <conditionalFormatting sqref="BD11:BD12">
    <cfRule type="containsText" dxfId="401" priority="403" operator="containsText" text="NO CUMPLE">
      <formula>NOT(ISERROR(SEARCH("NO CUMPLE",BD11)))</formula>
    </cfRule>
    <cfRule type="containsText" dxfId="400" priority="404" operator="containsText" text="SI CUMPLE">
      <formula>NOT(ISERROR(SEARCH("SI CUMPLE",BD11)))</formula>
    </cfRule>
  </conditionalFormatting>
  <conditionalFormatting sqref="BD10">
    <cfRule type="containsText" dxfId="399" priority="405" operator="containsText" text="NO CUMPLE">
      <formula>NOT(ISERROR(SEARCH("NO CUMPLE",BD10)))</formula>
    </cfRule>
    <cfRule type="containsText" dxfId="398" priority="406" operator="containsText" text="SI CUMPLE">
      <formula>NOT(ISERROR(SEARCH("SI CUMPLE",BD10)))</formula>
    </cfRule>
  </conditionalFormatting>
  <conditionalFormatting sqref="BD15">
    <cfRule type="containsText" dxfId="397" priority="397" operator="containsText" text="NO CUMPLE">
      <formula>NOT(ISERROR(SEARCH("NO CUMPLE",BD15)))</formula>
    </cfRule>
    <cfRule type="containsText" dxfId="396" priority="398" operator="containsText" text="SI CUMPLE">
      <formula>NOT(ISERROR(SEARCH("SI CUMPLE",BD15)))</formula>
    </cfRule>
  </conditionalFormatting>
  <conditionalFormatting sqref="BD13">
    <cfRule type="containsText" dxfId="395" priority="401" operator="containsText" text="NO CUMPLE">
      <formula>NOT(ISERROR(SEARCH("NO CUMPLE",BD13)))</formula>
    </cfRule>
    <cfRule type="containsText" dxfId="394" priority="402" operator="containsText" text="SI CUMPLE">
      <formula>NOT(ISERROR(SEARCH("SI CUMPLE",BD13)))</formula>
    </cfRule>
  </conditionalFormatting>
  <conditionalFormatting sqref="BD14">
    <cfRule type="containsText" dxfId="393" priority="399" operator="containsText" text="NO CUMPLE">
      <formula>NOT(ISERROR(SEARCH("NO CUMPLE",BD14)))</formula>
    </cfRule>
    <cfRule type="containsText" dxfId="392" priority="400" operator="containsText" text="SI CUMPLE">
      <formula>NOT(ISERROR(SEARCH("SI CUMPLE",BD14)))</formula>
    </cfRule>
  </conditionalFormatting>
  <conditionalFormatting sqref="BD16">
    <cfRule type="containsText" dxfId="391" priority="395" operator="containsText" text="NO CUMPLE">
      <formula>NOT(ISERROR(SEARCH("NO CUMPLE",BD16)))</formula>
    </cfRule>
    <cfRule type="containsText" dxfId="390" priority="396" operator="containsText" text="SI CUMPLE">
      <formula>NOT(ISERROR(SEARCH("SI CUMPLE",BD16)))</formula>
    </cfRule>
  </conditionalFormatting>
  <conditionalFormatting sqref="BD17">
    <cfRule type="containsText" dxfId="389" priority="393" operator="containsText" text="NO CUMPLE">
      <formula>NOT(ISERROR(SEARCH("NO CUMPLE",BD17)))</formula>
    </cfRule>
    <cfRule type="containsText" dxfId="388" priority="394" operator="containsText" text="SI CUMPLE">
      <formula>NOT(ISERROR(SEARCH("SI CUMPLE",BD17)))</formula>
    </cfRule>
  </conditionalFormatting>
  <conditionalFormatting sqref="BD18">
    <cfRule type="containsText" dxfId="387" priority="391" operator="containsText" text="NO CUMPLE">
      <formula>NOT(ISERROR(SEARCH("NO CUMPLE",BD18)))</formula>
    </cfRule>
    <cfRule type="containsText" dxfId="386" priority="392" operator="containsText" text="SI CUMPLE">
      <formula>NOT(ISERROR(SEARCH("SI CUMPLE",BD18)))</formula>
    </cfRule>
  </conditionalFormatting>
  <conditionalFormatting sqref="BD23:BD24">
    <cfRule type="containsText" dxfId="385" priority="389" operator="containsText" text="NO CUMPLE">
      <formula>NOT(ISERROR(SEARCH("NO CUMPLE",BD23)))</formula>
    </cfRule>
    <cfRule type="containsText" dxfId="384" priority="390" operator="containsText" text="SI CUMPLE">
      <formula>NOT(ISERROR(SEARCH("SI CUMPLE",BD23)))</formula>
    </cfRule>
  </conditionalFormatting>
  <conditionalFormatting sqref="BD25:BD26">
    <cfRule type="containsText" dxfId="383" priority="387" operator="containsText" text="NO CUMPLE">
      <formula>NOT(ISERROR(SEARCH("NO CUMPLE",BD25)))</formula>
    </cfRule>
    <cfRule type="containsText" dxfId="382" priority="388" operator="containsText" text="SI CUMPLE">
      <formula>NOT(ISERROR(SEARCH("SI CUMPLE",BD25)))</formula>
    </cfRule>
  </conditionalFormatting>
  <conditionalFormatting sqref="AZ25:AZ26">
    <cfRule type="containsText" dxfId="381" priority="385" operator="containsText" text="NO CUMPLE">
      <formula>NOT(ISERROR(SEARCH("NO CUMPLE",AZ25)))</formula>
    </cfRule>
    <cfRule type="containsText" dxfId="380" priority="386" operator="containsText" text="SI CUMPLE">
      <formula>NOT(ISERROR(SEARCH("SI CUMPLE",AZ25)))</formula>
    </cfRule>
  </conditionalFormatting>
  <conditionalFormatting sqref="AV25:AV26">
    <cfRule type="containsText" dxfId="379" priority="383" operator="containsText" text="NO CUMPLE">
      <formula>NOT(ISERROR(SEARCH("NO CUMPLE",AV25)))</formula>
    </cfRule>
    <cfRule type="containsText" dxfId="378" priority="384" operator="containsText" text="SI CUMPLE">
      <formula>NOT(ISERROR(SEARCH("SI CUMPLE",AV25)))</formula>
    </cfRule>
  </conditionalFormatting>
  <conditionalFormatting sqref="AR25:AR26">
    <cfRule type="containsText" dxfId="377" priority="381" operator="containsText" text="NO CUMPLE">
      <formula>NOT(ISERROR(SEARCH("NO CUMPLE",AR25)))</formula>
    </cfRule>
    <cfRule type="containsText" dxfId="376" priority="382" operator="containsText" text="SI CUMPLE">
      <formula>NOT(ISERROR(SEARCH("SI CUMPLE",AR25)))</formula>
    </cfRule>
  </conditionalFormatting>
  <conditionalFormatting sqref="AN25:AN26">
    <cfRule type="containsText" dxfId="375" priority="379" operator="containsText" text="NO CUMPLE">
      <formula>NOT(ISERROR(SEARCH("NO CUMPLE",AN25)))</formula>
    </cfRule>
    <cfRule type="containsText" dxfId="374" priority="380" operator="containsText" text="SI CUMPLE">
      <formula>NOT(ISERROR(SEARCH("SI CUMPLE",AN25)))</formula>
    </cfRule>
  </conditionalFormatting>
  <conditionalFormatting sqref="AJ25:AJ26">
    <cfRule type="containsText" dxfId="373" priority="377" operator="containsText" text="NO CUMPLE">
      <formula>NOT(ISERROR(SEARCH("NO CUMPLE",AJ25)))</formula>
    </cfRule>
    <cfRule type="containsText" dxfId="372" priority="378" operator="containsText" text="SI CUMPLE">
      <formula>NOT(ISERROR(SEARCH("SI CUMPLE",AJ25)))</formula>
    </cfRule>
  </conditionalFormatting>
  <conditionalFormatting sqref="AF25:AF26">
    <cfRule type="containsText" dxfId="371" priority="375" operator="containsText" text="NO CUMPLE">
      <formula>NOT(ISERROR(SEARCH("NO CUMPLE",AF25)))</formula>
    </cfRule>
    <cfRule type="containsText" dxfId="370" priority="376" operator="containsText" text="SI CUMPLE">
      <formula>NOT(ISERROR(SEARCH("SI CUMPLE",AF25)))</formula>
    </cfRule>
  </conditionalFormatting>
  <conditionalFormatting sqref="AB25:AB26">
    <cfRule type="containsText" dxfId="369" priority="373" operator="containsText" text="NO CUMPLE">
      <formula>NOT(ISERROR(SEARCH("NO CUMPLE",AB25)))</formula>
    </cfRule>
    <cfRule type="containsText" dxfId="368" priority="374" operator="containsText" text="SI CUMPLE">
      <formula>NOT(ISERROR(SEARCH("SI CUMPLE",AB25)))</formula>
    </cfRule>
  </conditionalFormatting>
  <conditionalFormatting sqref="X25:X26">
    <cfRule type="containsText" dxfId="367" priority="371" operator="containsText" text="NO CUMPLE">
      <formula>NOT(ISERROR(SEARCH("NO CUMPLE",X25)))</formula>
    </cfRule>
    <cfRule type="containsText" dxfId="366" priority="372" operator="containsText" text="SI CUMPLE">
      <formula>NOT(ISERROR(SEARCH("SI CUMPLE",X25)))</formula>
    </cfRule>
  </conditionalFormatting>
  <conditionalFormatting sqref="T25:T26">
    <cfRule type="containsText" dxfId="365" priority="369" operator="containsText" text="NO CUMPLE">
      <formula>NOT(ISERROR(SEARCH("NO CUMPLE",T25)))</formula>
    </cfRule>
    <cfRule type="containsText" dxfId="364" priority="370" operator="containsText" text="SI CUMPLE">
      <formula>NOT(ISERROR(SEARCH("SI CUMPLE",T25)))</formula>
    </cfRule>
  </conditionalFormatting>
  <conditionalFormatting sqref="P25:P26">
    <cfRule type="containsText" dxfId="363" priority="367" operator="containsText" text="NO CUMPLE">
      <formula>NOT(ISERROR(SEARCH("NO CUMPLE",P25)))</formula>
    </cfRule>
    <cfRule type="containsText" dxfId="362" priority="368" operator="containsText" text="SI CUMPLE">
      <formula>NOT(ISERROR(SEARCH("SI CUMPLE",P25)))</formula>
    </cfRule>
  </conditionalFormatting>
  <conditionalFormatting sqref="L25:L26">
    <cfRule type="containsText" dxfId="361" priority="365" operator="containsText" text="NO CUMPLE">
      <formula>NOT(ISERROR(SEARCH("NO CUMPLE",L25)))</formula>
    </cfRule>
    <cfRule type="containsText" dxfId="360" priority="366" operator="containsText" text="SI CUMPLE">
      <formula>NOT(ISERROR(SEARCH("SI CUMPLE",L25)))</formula>
    </cfRule>
  </conditionalFormatting>
  <conditionalFormatting sqref="L27:L28">
    <cfRule type="containsText" dxfId="359" priority="363" operator="containsText" text="NO CUMPLE">
      <formula>NOT(ISERROR(SEARCH("NO CUMPLE",L27)))</formula>
    </cfRule>
    <cfRule type="containsText" dxfId="358" priority="364" operator="containsText" text="SI CUMPLE">
      <formula>NOT(ISERROR(SEARCH("SI CUMPLE",L27)))</formula>
    </cfRule>
  </conditionalFormatting>
  <conditionalFormatting sqref="P27:P28">
    <cfRule type="containsText" dxfId="357" priority="361" operator="containsText" text="NO CUMPLE">
      <formula>NOT(ISERROR(SEARCH("NO CUMPLE",P27)))</formula>
    </cfRule>
    <cfRule type="containsText" dxfId="356" priority="362" operator="containsText" text="SI CUMPLE">
      <formula>NOT(ISERROR(SEARCH("SI CUMPLE",P27)))</formula>
    </cfRule>
  </conditionalFormatting>
  <conditionalFormatting sqref="T27:T28">
    <cfRule type="containsText" dxfId="355" priority="359" operator="containsText" text="NO CUMPLE">
      <formula>NOT(ISERROR(SEARCH("NO CUMPLE",T27)))</formula>
    </cfRule>
    <cfRule type="containsText" dxfId="354" priority="360" operator="containsText" text="SI CUMPLE">
      <formula>NOT(ISERROR(SEARCH("SI CUMPLE",T27)))</formula>
    </cfRule>
  </conditionalFormatting>
  <conditionalFormatting sqref="X27:X28">
    <cfRule type="containsText" dxfId="353" priority="357" operator="containsText" text="NO CUMPLE">
      <formula>NOT(ISERROR(SEARCH("NO CUMPLE",X27)))</formula>
    </cfRule>
    <cfRule type="containsText" dxfId="352" priority="358" operator="containsText" text="SI CUMPLE">
      <formula>NOT(ISERROR(SEARCH("SI CUMPLE",X27)))</formula>
    </cfRule>
  </conditionalFormatting>
  <conditionalFormatting sqref="AB27:AB28">
    <cfRule type="containsText" dxfId="351" priority="355" operator="containsText" text="NO CUMPLE">
      <formula>NOT(ISERROR(SEARCH("NO CUMPLE",AB27)))</formula>
    </cfRule>
    <cfRule type="containsText" dxfId="350" priority="356" operator="containsText" text="SI CUMPLE">
      <formula>NOT(ISERROR(SEARCH("SI CUMPLE",AB27)))</formula>
    </cfRule>
  </conditionalFormatting>
  <conditionalFormatting sqref="AF27:AF28">
    <cfRule type="containsText" dxfId="349" priority="353" operator="containsText" text="NO CUMPLE">
      <formula>NOT(ISERROR(SEARCH("NO CUMPLE",AF27)))</formula>
    </cfRule>
    <cfRule type="containsText" dxfId="348" priority="354" operator="containsText" text="SI CUMPLE">
      <formula>NOT(ISERROR(SEARCH("SI CUMPLE",AF27)))</formula>
    </cfRule>
  </conditionalFormatting>
  <conditionalFormatting sqref="AJ27:AJ28">
    <cfRule type="containsText" dxfId="347" priority="351" operator="containsText" text="NO CUMPLE">
      <formula>NOT(ISERROR(SEARCH("NO CUMPLE",AJ27)))</formula>
    </cfRule>
    <cfRule type="containsText" dxfId="346" priority="352" operator="containsText" text="SI CUMPLE">
      <formula>NOT(ISERROR(SEARCH("SI CUMPLE",AJ27)))</formula>
    </cfRule>
  </conditionalFormatting>
  <conditionalFormatting sqref="AN27:AN28">
    <cfRule type="containsText" dxfId="345" priority="349" operator="containsText" text="NO CUMPLE">
      <formula>NOT(ISERROR(SEARCH("NO CUMPLE",AN27)))</formula>
    </cfRule>
    <cfRule type="containsText" dxfId="344" priority="350" operator="containsText" text="SI CUMPLE">
      <formula>NOT(ISERROR(SEARCH("SI CUMPLE",AN27)))</formula>
    </cfRule>
  </conditionalFormatting>
  <conditionalFormatting sqref="AR27:AR28">
    <cfRule type="containsText" dxfId="343" priority="347" operator="containsText" text="NO CUMPLE">
      <formula>NOT(ISERROR(SEARCH("NO CUMPLE",AR27)))</formula>
    </cfRule>
    <cfRule type="containsText" dxfId="342" priority="348" operator="containsText" text="SI CUMPLE">
      <formula>NOT(ISERROR(SEARCH("SI CUMPLE",AR27)))</formula>
    </cfRule>
  </conditionalFormatting>
  <conditionalFormatting sqref="AV27:AV28">
    <cfRule type="containsText" dxfId="341" priority="345" operator="containsText" text="NO CUMPLE">
      <formula>NOT(ISERROR(SEARCH("NO CUMPLE",AV27)))</formula>
    </cfRule>
    <cfRule type="containsText" dxfId="340" priority="346" operator="containsText" text="SI CUMPLE">
      <formula>NOT(ISERROR(SEARCH("SI CUMPLE",AV27)))</formula>
    </cfRule>
  </conditionalFormatting>
  <conditionalFormatting sqref="AZ27:AZ28">
    <cfRule type="containsText" dxfId="339" priority="343" operator="containsText" text="NO CUMPLE">
      <formula>NOT(ISERROR(SEARCH("NO CUMPLE",AZ27)))</formula>
    </cfRule>
    <cfRule type="containsText" dxfId="338" priority="344" operator="containsText" text="SI CUMPLE">
      <formula>NOT(ISERROR(SEARCH("SI CUMPLE",AZ27)))</formula>
    </cfRule>
  </conditionalFormatting>
  <conditionalFormatting sqref="BD27:BD28">
    <cfRule type="containsText" dxfId="337" priority="341" operator="containsText" text="NO CUMPLE">
      <formula>NOT(ISERROR(SEARCH("NO CUMPLE",BD27)))</formula>
    </cfRule>
    <cfRule type="containsText" dxfId="336" priority="342" operator="containsText" text="SI CUMPLE">
      <formula>NOT(ISERROR(SEARCH("SI CUMPLE",BD27)))</formula>
    </cfRule>
  </conditionalFormatting>
  <conditionalFormatting sqref="BD29:BD30">
    <cfRule type="containsText" dxfId="335" priority="339" operator="containsText" text="NO CUMPLE">
      <formula>NOT(ISERROR(SEARCH("NO CUMPLE",BD29)))</formula>
    </cfRule>
    <cfRule type="containsText" dxfId="334" priority="340" operator="containsText" text="SI CUMPLE">
      <formula>NOT(ISERROR(SEARCH("SI CUMPLE",BD29)))</formula>
    </cfRule>
  </conditionalFormatting>
  <conditionalFormatting sqref="BD31:BD32">
    <cfRule type="containsText" dxfId="333" priority="337" operator="containsText" text="NO CUMPLE">
      <formula>NOT(ISERROR(SEARCH("NO CUMPLE",BD31)))</formula>
    </cfRule>
    <cfRule type="containsText" dxfId="332" priority="338" operator="containsText" text="SI CUMPLE">
      <formula>NOT(ISERROR(SEARCH("SI CUMPLE",BD31)))</formula>
    </cfRule>
  </conditionalFormatting>
  <conditionalFormatting sqref="BD33:BD34">
    <cfRule type="containsText" dxfId="331" priority="335" operator="containsText" text="NO CUMPLE">
      <formula>NOT(ISERROR(SEARCH("NO CUMPLE",BD33)))</formula>
    </cfRule>
    <cfRule type="containsText" dxfId="330" priority="336" operator="containsText" text="SI CUMPLE">
      <formula>NOT(ISERROR(SEARCH("SI CUMPLE",BD33)))</formula>
    </cfRule>
  </conditionalFormatting>
  <conditionalFormatting sqref="BD35:BD36">
    <cfRule type="containsText" dxfId="329" priority="333" operator="containsText" text="NO CUMPLE">
      <formula>NOT(ISERROR(SEARCH("NO CUMPLE",BD35)))</formula>
    </cfRule>
    <cfRule type="containsText" dxfId="328" priority="334" operator="containsText" text="SI CUMPLE">
      <formula>NOT(ISERROR(SEARCH("SI CUMPLE",BD35)))</formula>
    </cfRule>
  </conditionalFormatting>
  <conditionalFormatting sqref="BD37:BD38">
    <cfRule type="containsText" dxfId="327" priority="331" operator="containsText" text="NO CUMPLE">
      <formula>NOT(ISERROR(SEARCH("NO CUMPLE",BD37)))</formula>
    </cfRule>
    <cfRule type="containsText" dxfId="326" priority="332" operator="containsText" text="SI CUMPLE">
      <formula>NOT(ISERROR(SEARCH("SI CUMPLE",BD37)))</formula>
    </cfRule>
  </conditionalFormatting>
  <conditionalFormatting sqref="BD39:BD40">
    <cfRule type="containsText" dxfId="325" priority="329" operator="containsText" text="NO CUMPLE">
      <formula>NOT(ISERROR(SEARCH("NO CUMPLE",BD39)))</formula>
    </cfRule>
    <cfRule type="containsText" dxfId="324" priority="330" operator="containsText" text="SI CUMPLE">
      <formula>NOT(ISERROR(SEARCH("SI CUMPLE",BD39)))</formula>
    </cfRule>
  </conditionalFormatting>
  <conditionalFormatting sqref="BD41:BD42">
    <cfRule type="containsText" dxfId="323" priority="327" operator="containsText" text="NO CUMPLE">
      <formula>NOT(ISERROR(SEARCH("NO CUMPLE",BD41)))</formula>
    </cfRule>
    <cfRule type="containsText" dxfId="322" priority="328" operator="containsText" text="SI CUMPLE">
      <formula>NOT(ISERROR(SEARCH("SI CUMPLE",BD41)))</formula>
    </cfRule>
  </conditionalFormatting>
  <conditionalFormatting sqref="L43:L44">
    <cfRule type="containsText" dxfId="321" priority="325" operator="containsText" text="NO CUMPLE">
      <formula>NOT(ISERROR(SEARCH("NO CUMPLE",L43)))</formula>
    </cfRule>
    <cfRule type="containsText" dxfId="320" priority="326" operator="containsText" text="SI CUMPLE">
      <formula>NOT(ISERROR(SEARCH("SI CUMPLE",L43)))</formula>
    </cfRule>
  </conditionalFormatting>
  <conditionalFormatting sqref="P43:P44">
    <cfRule type="containsText" dxfId="319" priority="323" operator="containsText" text="NO CUMPLE">
      <formula>NOT(ISERROR(SEARCH("NO CUMPLE",P43)))</formula>
    </cfRule>
    <cfRule type="containsText" dxfId="318" priority="324" operator="containsText" text="SI CUMPLE">
      <formula>NOT(ISERROR(SEARCH("SI CUMPLE",P43)))</formula>
    </cfRule>
  </conditionalFormatting>
  <conditionalFormatting sqref="T43:T44">
    <cfRule type="containsText" dxfId="317" priority="321" operator="containsText" text="NO CUMPLE">
      <formula>NOT(ISERROR(SEARCH("NO CUMPLE",T43)))</formula>
    </cfRule>
    <cfRule type="containsText" dxfId="316" priority="322" operator="containsText" text="SI CUMPLE">
      <formula>NOT(ISERROR(SEARCH("SI CUMPLE",T43)))</formula>
    </cfRule>
  </conditionalFormatting>
  <conditionalFormatting sqref="X43:X44">
    <cfRule type="containsText" dxfId="315" priority="319" operator="containsText" text="NO CUMPLE">
      <formula>NOT(ISERROR(SEARCH("NO CUMPLE",X43)))</formula>
    </cfRule>
    <cfRule type="containsText" dxfId="314" priority="320" operator="containsText" text="SI CUMPLE">
      <formula>NOT(ISERROR(SEARCH("SI CUMPLE",X43)))</formula>
    </cfRule>
  </conditionalFormatting>
  <conditionalFormatting sqref="AB43:AB44">
    <cfRule type="containsText" dxfId="313" priority="317" operator="containsText" text="NO CUMPLE">
      <formula>NOT(ISERROR(SEARCH("NO CUMPLE",AB43)))</formula>
    </cfRule>
    <cfRule type="containsText" dxfId="312" priority="318" operator="containsText" text="SI CUMPLE">
      <formula>NOT(ISERROR(SEARCH("SI CUMPLE",AB43)))</formula>
    </cfRule>
  </conditionalFormatting>
  <conditionalFormatting sqref="AF43:AF44">
    <cfRule type="containsText" dxfId="311" priority="315" operator="containsText" text="NO CUMPLE">
      <formula>NOT(ISERROR(SEARCH("NO CUMPLE",AF43)))</formula>
    </cfRule>
    <cfRule type="containsText" dxfId="310" priority="316" operator="containsText" text="SI CUMPLE">
      <formula>NOT(ISERROR(SEARCH("SI CUMPLE",AF43)))</formula>
    </cfRule>
  </conditionalFormatting>
  <conditionalFormatting sqref="AJ43:AJ44">
    <cfRule type="containsText" dxfId="309" priority="313" operator="containsText" text="NO CUMPLE">
      <formula>NOT(ISERROR(SEARCH("NO CUMPLE",AJ43)))</formula>
    </cfRule>
    <cfRule type="containsText" dxfId="308" priority="314" operator="containsText" text="SI CUMPLE">
      <formula>NOT(ISERROR(SEARCH("SI CUMPLE",AJ43)))</formula>
    </cfRule>
  </conditionalFormatting>
  <conditionalFormatting sqref="AN43:AN44">
    <cfRule type="containsText" dxfId="307" priority="311" operator="containsText" text="NO CUMPLE">
      <formula>NOT(ISERROR(SEARCH("NO CUMPLE",AN43)))</formula>
    </cfRule>
    <cfRule type="containsText" dxfId="306" priority="312" operator="containsText" text="SI CUMPLE">
      <formula>NOT(ISERROR(SEARCH("SI CUMPLE",AN43)))</formula>
    </cfRule>
  </conditionalFormatting>
  <conditionalFormatting sqref="AR43:AR44">
    <cfRule type="containsText" dxfId="305" priority="309" operator="containsText" text="NO CUMPLE">
      <formula>NOT(ISERROR(SEARCH("NO CUMPLE",AR43)))</formula>
    </cfRule>
    <cfRule type="containsText" dxfId="304" priority="310" operator="containsText" text="SI CUMPLE">
      <formula>NOT(ISERROR(SEARCH("SI CUMPLE",AR43)))</formula>
    </cfRule>
  </conditionalFormatting>
  <conditionalFormatting sqref="AV43:AV44">
    <cfRule type="containsText" dxfId="303" priority="307" operator="containsText" text="NO CUMPLE">
      <formula>NOT(ISERROR(SEARCH("NO CUMPLE",AV43)))</formula>
    </cfRule>
    <cfRule type="containsText" dxfId="302" priority="308" operator="containsText" text="SI CUMPLE">
      <formula>NOT(ISERROR(SEARCH("SI CUMPLE",AV43)))</formula>
    </cfRule>
  </conditionalFormatting>
  <conditionalFormatting sqref="AZ43:AZ44">
    <cfRule type="containsText" dxfId="301" priority="305" operator="containsText" text="NO CUMPLE">
      <formula>NOT(ISERROR(SEARCH("NO CUMPLE",AZ43)))</formula>
    </cfRule>
    <cfRule type="containsText" dxfId="300" priority="306" operator="containsText" text="SI CUMPLE">
      <formula>NOT(ISERROR(SEARCH("SI CUMPLE",AZ43)))</formula>
    </cfRule>
  </conditionalFormatting>
  <conditionalFormatting sqref="BD43:BD44">
    <cfRule type="containsText" dxfId="299" priority="303" operator="containsText" text="NO CUMPLE">
      <formula>NOT(ISERROR(SEARCH("NO CUMPLE",BD43)))</formula>
    </cfRule>
    <cfRule type="containsText" dxfId="298" priority="304" operator="containsText" text="SI CUMPLE">
      <formula>NOT(ISERROR(SEARCH("SI CUMPLE",BD43)))</formula>
    </cfRule>
  </conditionalFormatting>
  <conditionalFormatting sqref="L45:L46">
    <cfRule type="containsText" dxfId="297" priority="301" operator="containsText" text="NO CUMPLE">
      <formula>NOT(ISERROR(SEARCH("NO CUMPLE",L45)))</formula>
    </cfRule>
    <cfRule type="containsText" dxfId="296" priority="302" operator="containsText" text="SI CUMPLE">
      <formula>NOT(ISERROR(SEARCH("SI CUMPLE",L45)))</formula>
    </cfRule>
  </conditionalFormatting>
  <conditionalFormatting sqref="P45:P46">
    <cfRule type="containsText" dxfId="295" priority="299" operator="containsText" text="NO CUMPLE">
      <formula>NOT(ISERROR(SEARCH("NO CUMPLE",P45)))</formula>
    </cfRule>
    <cfRule type="containsText" dxfId="294" priority="300" operator="containsText" text="SI CUMPLE">
      <formula>NOT(ISERROR(SEARCH("SI CUMPLE",P45)))</formula>
    </cfRule>
  </conditionalFormatting>
  <conditionalFormatting sqref="T45:T46">
    <cfRule type="containsText" dxfId="293" priority="297" operator="containsText" text="NO CUMPLE">
      <formula>NOT(ISERROR(SEARCH("NO CUMPLE",T45)))</formula>
    </cfRule>
    <cfRule type="containsText" dxfId="292" priority="298" operator="containsText" text="SI CUMPLE">
      <formula>NOT(ISERROR(SEARCH("SI CUMPLE",T45)))</formula>
    </cfRule>
  </conditionalFormatting>
  <conditionalFormatting sqref="X45:X46">
    <cfRule type="containsText" dxfId="291" priority="295" operator="containsText" text="NO CUMPLE">
      <formula>NOT(ISERROR(SEARCH("NO CUMPLE",X45)))</formula>
    </cfRule>
    <cfRule type="containsText" dxfId="290" priority="296" operator="containsText" text="SI CUMPLE">
      <formula>NOT(ISERROR(SEARCH("SI CUMPLE",X45)))</formula>
    </cfRule>
  </conditionalFormatting>
  <conditionalFormatting sqref="AB45:AB46">
    <cfRule type="containsText" dxfId="289" priority="293" operator="containsText" text="NO CUMPLE">
      <formula>NOT(ISERROR(SEARCH("NO CUMPLE",AB45)))</formula>
    </cfRule>
    <cfRule type="containsText" dxfId="288" priority="294" operator="containsText" text="SI CUMPLE">
      <formula>NOT(ISERROR(SEARCH("SI CUMPLE",AB45)))</formula>
    </cfRule>
  </conditionalFormatting>
  <conditionalFormatting sqref="AF45:AF46">
    <cfRule type="containsText" dxfId="287" priority="291" operator="containsText" text="NO CUMPLE">
      <formula>NOT(ISERROR(SEARCH("NO CUMPLE",AF45)))</formula>
    </cfRule>
    <cfRule type="containsText" dxfId="286" priority="292" operator="containsText" text="SI CUMPLE">
      <formula>NOT(ISERROR(SEARCH("SI CUMPLE",AF45)))</formula>
    </cfRule>
  </conditionalFormatting>
  <conditionalFormatting sqref="AJ45:AJ46">
    <cfRule type="containsText" dxfId="285" priority="289" operator="containsText" text="NO CUMPLE">
      <formula>NOT(ISERROR(SEARCH("NO CUMPLE",AJ45)))</formula>
    </cfRule>
    <cfRule type="containsText" dxfId="284" priority="290" operator="containsText" text="SI CUMPLE">
      <formula>NOT(ISERROR(SEARCH("SI CUMPLE",AJ45)))</formula>
    </cfRule>
  </conditionalFormatting>
  <conditionalFormatting sqref="AN45:AN46">
    <cfRule type="containsText" dxfId="283" priority="287" operator="containsText" text="NO CUMPLE">
      <formula>NOT(ISERROR(SEARCH("NO CUMPLE",AN45)))</formula>
    </cfRule>
    <cfRule type="containsText" dxfId="282" priority="288" operator="containsText" text="SI CUMPLE">
      <formula>NOT(ISERROR(SEARCH("SI CUMPLE",AN45)))</formula>
    </cfRule>
  </conditionalFormatting>
  <conditionalFormatting sqref="AR45:AR46">
    <cfRule type="containsText" dxfId="281" priority="285" operator="containsText" text="NO CUMPLE">
      <formula>NOT(ISERROR(SEARCH("NO CUMPLE",AR45)))</formula>
    </cfRule>
    <cfRule type="containsText" dxfId="280" priority="286" operator="containsText" text="SI CUMPLE">
      <formula>NOT(ISERROR(SEARCH("SI CUMPLE",AR45)))</formula>
    </cfRule>
  </conditionalFormatting>
  <conditionalFormatting sqref="AV45:AV46">
    <cfRule type="containsText" dxfId="279" priority="283" operator="containsText" text="NO CUMPLE">
      <formula>NOT(ISERROR(SEARCH("NO CUMPLE",AV45)))</formula>
    </cfRule>
    <cfRule type="containsText" dxfId="278" priority="284" operator="containsText" text="SI CUMPLE">
      <formula>NOT(ISERROR(SEARCH("SI CUMPLE",AV45)))</formula>
    </cfRule>
  </conditionalFormatting>
  <conditionalFormatting sqref="AZ45:AZ46">
    <cfRule type="containsText" dxfId="277" priority="281" operator="containsText" text="NO CUMPLE">
      <formula>NOT(ISERROR(SEARCH("NO CUMPLE",AZ45)))</formula>
    </cfRule>
    <cfRule type="containsText" dxfId="276" priority="282" operator="containsText" text="SI CUMPLE">
      <formula>NOT(ISERROR(SEARCH("SI CUMPLE",AZ45)))</formula>
    </cfRule>
  </conditionalFormatting>
  <conditionalFormatting sqref="BD45:BD46">
    <cfRule type="containsText" dxfId="275" priority="279" operator="containsText" text="NO CUMPLE">
      <formula>NOT(ISERROR(SEARCH("NO CUMPLE",BD45)))</formula>
    </cfRule>
    <cfRule type="containsText" dxfId="274" priority="280" operator="containsText" text="SI CUMPLE">
      <formula>NOT(ISERROR(SEARCH("SI CUMPLE",BD45)))</formula>
    </cfRule>
  </conditionalFormatting>
  <conditionalFormatting sqref="L47:L48">
    <cfRule type="containsText" dxfId="273" priority="277" operator="containsText" text="NO CUMPLE">
      <formula>NOT(ISERROR(SEARCH("NO CUMPLE",L47)))</formula>
    </cfRule>
    <cfRule type="containsText" dxfId="272" priority="278" operator="containsText" text="SI CUMPLE">
      <formula>NOT(ISERROR(SEARCH("SI CUMPLE",L47)))</formula>
    </cfRule>
  </conditionalFormatting>
  <conditionalFormatting sqref="P47:P48">
    <cfRule type="containsText" dxfId="271" priority="275" operator="containsText" text="NO CUMPLE">
      <formula>NOT(ISERROR(SEARCH("NO CUMPLE",P47)))</formula>
    </cfRule>
    <cfRule type="containsText" dxfId="270" priority="276" operator="containsText" text="SI CUMPLE">
      <formula>NOT(ISERROR(SEARCH("SI CUMPLE",P47)))</formula>
    </cfRule>
  </conditionalFormatting>
  <conditionalFormatting sqref="T47:T48">
    <cfRule type="containsText" dxfId="269" priority="273" operator="containsText" text="NO CUMPLE">
      <formula>NOT(ISERROR(SEARCH("NO CUMPLE",T47)))</formula>
    </cfRule>
    <cfRule type="containsText" dxfId="268" priority="274" operator="containsText" text="SI CUMPLE">
      <formula>NOT(ISERROR(SEARCH("SI CUMPLE",T47)))</formula>
    </cfRule>
  </conditionalFormatting>
  <conditionalFormatting sqref="X47:X48">
    <cfRule type="containsText" dxfId="267" priority="271" operator="containsText" text="NO CUMPLE">
      <formula>NOT(ISERROR(SEARCH("NO CUMPLE",X47)))</formula>
    </cfRule>
    <cfRule type="containsText" dxfId="266" priority="272" operator="containsText" text="SI CUMPLE">
      <formula>NOT(ISERROR(SEARCH("SI CUMPLE",X47)))</formula>
    </cfRule>
  </conditionalFormatting>
  <conditionalFormatting sqref="AB47:AB48">
    <cfRule type="containsText" dxfId="265" priority="269" operator="containsText" text="NO CUMPLE">
      <formula>NOT(ISERROR(SEARCH("NO CUMPLE",AB47)))</formula>
    </cfRule>
    <cfRule type="containsText" dxfId="264" priority="270" operator="containsText" text="SI CUMPLE">
      <formula>NOT(ISERROR(SEARCH("SI CUMPLE",AB47)))</formula>
    </cfRule>
  </conditionalFormatting>
  <conditionalFormatting sqref="AF47:AF48">
    <cfRule type="containsText" dxfId="263" priority="267" operator="containsText" text="NO CUMPLE">
      <formula>NOT(ISERROR(SEARCH("NO CUMPLE",AF47)))</formula>
    </cfRule>
    <cfRule type="containsText" dxfId="262" priority="268" operator="containsText" text="SI CUMPLE">
      <formula>NOT(ISERROR(SEARCH("SI CUMPLE",AF47)))</formula>
    </cfRule>
  </conditionalFormatting>
  <conditionalFormatting sqref="AJ47:AJ48">
    <cfRule type="containsText" dxfId="261" priority="265" operator="containsText" text="NO CUMPLE">
      <formula>NOT(ISERROR(SEARCH("NO CUMPLE",AJ47)))</formula>
    </cfRule>
    <cfRule type="containsText" dxfId="260" priority="266" operator="containsText" text="SI CUMPLE">
      <formula>NOT(ISERROR(SEARCH("SI CUMPLE",AJ47)))</formula>
    </cfRule>
  </conditionalFormatting>
  <conditionalFormatting sqref="AN47:AN48">
    <cfRule type="containsText" dxfId="259" priority="263" operator="containsText" text="NO CUMPLE">
      <formula>NOT(ISERROR(SEARCH("NO CUMPLE",AN47)))</formula>
    </cfRule>
    <cfRule type="containsText" dxfId="258" priority="264" operator="containsText" text="SI CUMPLE">
      <formula>NOT(ISERROR(SEARCH("SI CUMPLE",AN47)))</formula>
    </cfRule>
  </conditionalFormatting>
  <conditionalFormatting sqref="AR47:AR48">
    <cfRule type="containsText" dxfId="257" priority="261" operator="containsText" text="NO CUMPLE">
      <formula>NOT(ISERROR(SEARCH("NO CUMPLE",AR47)))</formula>
    </cfRule>
    <cfRule type="containsText" dxfId="256" priority="262" operator="containsText" text="SI CUMPLE">
      <formula>NOT(ISERROR(SEARCH("SI CUMPLE",AR47)))</formula>
    </cfRule>
  </conditionalFormatting>
  <conditionalFormatting sqref="AV47:AV48">
    <cfRule type="containsText" dxfId="255" priority="259" operator="containsText" text="NO CUMPLE">
      <formula>NOT(ISERROR(SEARCH("NO CUMPLE",AV47)))</formula>
    </cfRule>
    <cfRule type="containsText" dxfId="254" priority="260" operator="containsText" text="SI CUMPLE">
      <formula>NOT(ISERROR(SEARCH("SI CUMPLE",AV47)))</formula>
    </cfRule>
  </conditionalFormatting>
  <conditionalFormatting sqref="AZ47:AZ48">
    <cfRule type="containsText" dxfId="253" priority="257" operator="containsText" text="NO CUMPLE">
      <formula>NOT(ISERROR(SEARCH("NO CUMPLE",AZ47)))</formula>
    </cfRule>
    <cfRule type="containsText" dxfId="252" priority="258" operator="containsText" text="SI CUMPLE">
      <formula>NOT(ISERROR(SEARCH("SI CUMPLE",AZ47)))</formula>
    </cfRule>
  </conditionalFormatting>
  <conditionalFormatting sqref="BD47:BD48">
    <cfRule type="containsText" dxfId="251" priority="255" operator="containsText" text="NO CUMPLE">
      <formula>NOT(ISERROR(SEARCH("NO CUMPLE",BD47)))</formula>
    </cfRule>
    <cfRule type="containsText" dxfId="250" priority="256" operator="containsText" text="SI CUMPLE">
      <formula>NOT(ISERROR(SEARCH("SI CUMPLE",BD47)))</formula>
    </cfRule>
  </conditionalFormatting>
  <conditionalFormatting sqref="L49:L50">
    <cfRule type="containsText" dxfId="249" priority="253" operator="containsText" text="NO CUMPLE">
      <formula>NOT(ISERROR(SEARCH("NO CUMPLE",L49)))</formula>
    </cfRule>
    <cfRule type="containsText" dxfId="248" priority="254" operator="containsText" text="SI CUMPLE">
      <formula>NOT(ISERROR(SEARCH("SI CUMPLE",L49)))</formula>
    </cfRule>
  </conditionalFormatting>
  <conditionalFormatting sqref="P49:P50">
    <cfRule type="containsText" dxfId="247" priority="251" operator="containsText" text="NO CUMPLE">
      <formula>NOT(ISERROR(SEARCH("NO CUMPLE",P49)))</formula>
    </cfRule>
    <cfRule type="containsText" dxfId="246" priority="252" operator="containsText" text="SI CUMPLE">
      <formula>NOT(ISERROR(SEARCH("SI CUMPLE",P49)))</formula>
    </cfRule>
  </conditionalFormatting>
  <conditionalFormatting sqref="T49:T50">
    <cfRule type="containsText" dxfId="245" priority="249" operator="containsText" text="NO CUMPLE">
      <formula>NOT(ISERROR(SEARCH("NO CUMPLE",T49)))</formula>
    </cfRule>
    <cfRule type="containsText" dxfId="244" priority="250" operator="containsText" text="SI CUMPLE">
      <formula>NOT(ISERROR(SEARCH("SI CUMPLE",T49)))</formula>
    </cfRule>
  </conditionalFormatting>
  <conditionalFormatting sqref="X49:X50">
    <cfRule type="containsText" dxfId="243" priority="247" operator="containsText" text="NO CUMPLE">
      <formula>NOT(ISERROR(SEARCH("NO CUMPLE",X49)))</formula>
    </cfRule>
    <cfRule type="containsText" dxfId="242" priority="248" operator="containsText" text="SI CUMPLE">
      <formula>NOT(ISERROR(SEARCH("SI CUMPLE",X49)))</formula>
    </cfRule>
  </conditionalFormatting>
  <conditionalFormatting sqref="AB49:AB50">
    <cfRule type="containsText" dxfId="241" priority="245" operator="containsText" text="NO CUMPLE">
      <formula>NOT(ISERROR(SEARCH("NO CUMPLE",AB49)))</formula>
    </cfRule>
    <cfRule type="containsText" dxfId="240" priority="246" operator="containsText" text="SI CUMPLE">
      <formula>NOT(ISERROR(SEARCH("SI CUMPLE",AB49)))</formula>
    </cfRule>
  </conditionalFormatting>
  <conditionalFormatting sqref="AF49:AF50">
    <cfRule type="containsText" dxfId="239" priority="243" operator="containsText" text="NO CUMPLE">
      <formula>NOT(ISERROR(SEARCH("NO CUMPLE",AF49)))</formula>
    </cfRule>
    <cfRule type="containsText" dxfId="238" priority="244" operator="containsText" text="SI CUMPLE">
      <formula>NOT(ISERROR(SEARCH("SI CUMPLE",AF49)))</formula>
    </cfRule>
  </conditionalFormatting>
  <conditionalFormatting sqref="AJ49:AJ50">
    <cfRule type="containsText" dxfId="237" priority="241" operator="containsText" text="NO CUMPLE">
      <formula>NOT(ISERROR(SEARCH("NO CUMPLE",AJ49)))</formula>
    </cfRule>
    <cfRule type="containsText" dxfId="236" priority="242" operator="containsText" text="SI CUMPLE">
      <formula>NOT(ISERROR(SEARCH("SI CUMPLE",AJ49)))</formula>
    </cfRule>
  </conditionalFormatting>
  <conditionalFormatting sqref="AN49:AN50">
    <cfRule type="containsText" dxfId="235" priority="239" operator="containsText" text="NO CUMPLE">
      <formula>NOT(ISERROR(SEARCH("NO CUMPLE",AN49)))</formula>
    </cfRule>
    <cfRule type="containsText" dxfId="234" priority="240" operator="containsText" text="SI CUMPLE">
      <formula>NOT(ISERROR(SEARCH("SI CUMPLE",AN49)))</formula>
    </cfRule>
  </conditionalFormatting>
  <conditionalFormatting sqref="AR49:AR50">
    <cfRule type="containsText" dxfId="233" priority="237" operator="containsText" text="NO CUMPLE">
      <formula>NOT(ISERROR(SEARCH("NO CUMPLE",AR49)))</formula>
    </cfRule>
    <cfRule type="containsText" dxfId="232" priority="238" operator="containsText" text="SI CUMPLE">
      <formula>NOT(ISERROR(SEARCH("SI CUMPLE",AR49)))</formula>
    </cfRule>
  </conditionalFormatting>
  <conditionalFormatting sqref="AV49:AV50">
    <cfRule type="containsText" dxfId="231" priority="235" operator="containsText" text="NO CUMPLE">
      <formula>NOT(ISERROR(SEARCH("NO CUMPLE",AV49)))</formula>
    </cfRule>
    <cfRule type="containsText" dxfId="230" priority="236" operator="containsText" text="SI CUMPLE">
      <formula>NOT(ISERROR(SEARCH("SI CUMPLE",AV49)))</formula>
    </cfRule>
  </conditionalFormatting>
  <conditionalFormatting sqref="AZ49:AZ50">
    <cfRule type="containsText" dxfId="229" priority="233" operator="containsText" text="NO CUMPLE">
      <formula>NOT(ISERROR(SEARCH("NO CUMPLE",AZ49)))</formula>
    </cfRule>
    <cfRule type="containsText" dxfId="228" priority="234" operator="containsText" text="SI CUMPLE">
      <formula>NOT(ISERROR(SEARCH("SI CUMPLE",AZ49)))</formula>
    </cfRule>
  </conditionalFormatting>
  <conditionalFormatting sqref="BD49:BD50">
    <cfRule type="containsText" dxfId="227" priority="231" operator="containsText" text="NO CUMPLE">
      <formula>NOT(ISERROR(SEARCH("NO CUMPLE",BD49)))</formula>
    </cfRule>
    <cfRule type="containsText" dxfId="226" priority="232" operator="containsText" text="SI CUMPLE">
      <formula>NOT(ISERROR(SEARCH("SI CUMPLE",BD49)))</formula>
    </cfRule>
  </conditionalFormatting>
  <conditionalFormatting sqref="L51:L52">
    <cfRule type="containsText" dxfId="225" priority="229" operator="containsText" text="NO CUMPLE">
      <formula>NOT(ISERROR(SEARCH("NO CUMPLE",L51)))</formula>
    </cfRule>
    <cfRule type="containsText" dxfId="224" priority="230" operator="containsText" text="SI CUMPLE">
      <formula>NOT(ISERROR(SEARCH("SI CUMPLE",L51)))</formula>
    </cfRule>
  </conditionalFormatting>
  <conditionalFormatting sqref="P51:P52">
    <cfRule type="containsText" dxfId="223" priority="227" operator="containsText" text="NO CUMPLE">
      <formula>NOT(ISERROR(SEARCH("NO CUMPLE",P51)))</formula>
    </cfRule>
    <cfRule type="containsText" dxfId="222" priority="228" operator="containsText" text="SI CUMPLE">
      <formula>NOT(ISERROR(SEARCH("SI CUMPLE",P51)))</formula>
    </cfRule>
  </conditionalFormatting>
  <conditionalFormatting sqref="T51:T52">
    <cfRule type="containsText" dxfId="221" priority="225" operator="containsText" text="NO CUMPLE">
      <formula>NOT(ISERROR(SEARCH("NO CUMPLE",T51)))</formula>
    </cfRule>
    <cfRule type="containsText" dxfId="220" priority="226" operator="containsText" text="SI CUMPLE">
      <formula>NOT(ISERROR(SEARCH("SI CUMPLE",T51)))</formula>
    </cfRule>
  </conditionalFormatting>
  <conditionalFormatting sqref="X51:X52">
    <cfRule type="containsText" dxfId="219" priority="223" operator="containsText" text="NO CUMPLE">
      <formula>NOT(ISERROR(SEARCH("NO CUMPLE",X51)))</formula>
    </cfRule>
    <cfRule type="containsText" dxfId="218" priority="224" operator="containsText" text="SI CUMPLE">
      <formula>NOT(ISERROR(SEARCH("SI CUMPLE",X51)))</formula>
    </cfRule>
  </conditionalFormatting>
  <conditionalFormatting sqref="AB51:AB52">
    <cfRule type="containsText" dxfId="217" priority="221" operator="containsText" text="NO CUMPLE">
      <formula>NOT(ISERROR(SEARCH("NO CUMPLE",AB51)))</formula>
    </cfRule>
    <cfRule type="containsText" dxfId="216" priority="222" operator="containsText" text="SI CUMPLE">
      <formula>NOT(ISERROR(SEARCH("SI CUMPLE",AB51)))</formula>
    </cfRule>
  </conditionalFormatting>
  <conditionalFormatting sqref="AF51:AF52">
    <cfRule type="containsText" dxfId="215" priority="219" operator="containsText" text="NO CUMPLE">
      <formula>NOT(ISERROR(SEARCH("NO CUMPLE",AF51)))</formula>
    </cfRule>
    <cfRule type="containsText" dxfId="214" priority="220" operator="containsText" text="SI CUMPLE">
      <formula>NOT(ISERROR(SEARCH("SI CUMPLE",AF51)))</formula>
    </cfRule>
  </conditionalFormatting>
  <conditionalFormatting sqref="AJ51:AJ52">
    <cfRule type="containsText" dxfId="213" priority="217" operator="containsText" text="NO CUMPLE">
      <formula>NOT(ISERROR(SEARCH("NO CUMPLE",AJ51)))</formula>
    </cfRule>
    <cfRule type="containsText" dxfId="212" priority="218" operator="containsText" text="SI CUMPLE">
      <formula>NOT(ISERROR(SEARCH("SI CUMPLE",AJ51)))</formula>
    </cfRule>
  </conditionalFormatting>
  <conditionalFormatting sqref="AN51:AN52">
    <cfRule type="containsText" dxfId="211" priority="215" operator="containsText" text="NO CUMPLE">
      <formula>NOT(ISERROR(SEARCH("NO CUMPLE",AN51)))</formula>
    </cfRule>
    <cfRule type="containsText" dxfId="210" priority="216" operator="containsText" text="SI CUMPLE">
      <formula>NOT(ISERROR(SEARCH("SI CUMPLE",AN51)))</formula>
    </cfRule>
  </conditionalFormatting>
  <conditionalFormatting sqref="AR51:AR52">
    <cfRule type="containsText" dxfId="209" priority="213" operator="containsText" text="NO CUMPLE">
      <formula>NOT(ISERROR(SEARCH("NO CUMPLE",AR51)))</formula>
    </cfRule>
    <cfRule type="containsText" dxfId="208" priority="214" operator="containsText" text="SI CUMPLE">
      <formula>NOT(ISERROR(SEARCH("SI CUMPLE",AR51)))</formula>
    </cfRule>
  </conditionalFormatting>
  <conditionalFormatting sqref="AV51:AV52">
    <cfRule type="containsText" dxfId="207" priority="211" operator="containsText" text="NO CUMPLE">
      <formula>NOT(ISERROR(SEARCH("NO CUMPLE",AV51)))</formula>
    </cfRule>
    <cfRule type="containsText" dxfId="206" priority="212" operator="containsText" text="SI CUMPLE">
      <formula>NOT(ISERROR(SEARCH("SI CUMPLE",AV51)))</formula>
    </cfRule>
  </conditionalFormatting>
  <conditionalFormatting sqref="AZ51:AZ52">
    <cfRule type="containsText" dxfId="205" priority="209" operator="containsText" text="NO CUMPLE">
      <formula>NOT(ISERROR(SEARCH("NO CUMPLE",AZ51)))</formula>
    </cfRule>
    <cfRule type="containsText" dxfId="204" priority="210" operator="containsText" text="SI CUMPLE">
      <formula>NOT(ISERROR(SEARCH("SI CUMPLE",AZ51)))</formula>
    </cfRule>
  </conditionalFormatting>
  <conditionalFormatting sqref="BD51:BD52">
    <cfRule type="containsText" dxfId="203" priority="207" operator="containsText" text="NO CUMPLE">
      <formula>NOT(ISERROR(SEARCH("NO CUMPLE",BD51)))</formula>
    </cfRule>
    <cfRule type="containsText" dxfId="202" priority="208" operator="containsText" text="SI CUMPLE">
      <formula>NOT(ISERROR(SEARCH("SI CUMPLE",BD51)))</formula>
    </cfRule>
  </conditionalFormatting>
  <conditionalFormatting sqref="BD53">
    <cfRule type="containsText" dxfId="201" priority="205" operator="containsText" text="NO CUMPLE">
      <formula>NOT(ISERROR(SEARCH("NO CUMPLE",BD53)))</formula>
    </cfRule>
    <cfRule type="containsText" dxfId="200" priority="206" operator="containsText" text="SI CUMPLE">
      <formula>NOT(ISERROR(SEARCH("SI CUMPLE",BD53)))</formula>
    </cfRule>
  </conditionalFormatting>
  <conditionalFormatting sqref="L54:L55">
    <cfRule type="containsText" dxfId="199" priority="203" operator="containsText" text="NO CUMPLE">
      <formula>NOT(ISERROR(SEARCH("NO CUMPLE",L54)))</formula>
    </cfRule>
    <cfRule type="containsText" dxfId="198" priority="204" operator="containsText" text="SI CUMPLE">
      <formula>NOT(ISERROR(SEARCH("SI CUMPLE",L54)))</formula>
    </cfRule>
  </conditionalFormatting>
  <conditionalFormatting sqref="P54:P55">
    <cfRule type="containsText" dxfId="197" priority="201" operator="containsText" text="NO CUMPLE">
      <formula>NOT(ISERROR(SEARCH("NO CUMPLE",P54)))</formula>
    </cfRule>
    <cfRule type="containsText" dxfId="196" priority="202" operator="containsText" text="SI CUMPLE">
      <formula>NOT(ISERROR(SEARCH("SI CUMPLE",P54)))</formula>
    </cfRule>
  </conditionalFormatting>
  <conditionalFormatting sqref="T54:T55">
    <cfRule type="containsText" dxfId="195" priority="199" operator="containsText" text="NO CUMPLE">
      <formula>NOT(ISERROR(SEARCH("NO CUMPLE",T54)))</formula>
    </cfRule>
    <cfRule type="containsText" dxfId="194" priority="200" operator="containsText" text="SI CUMPLE">
      <formula>NOT(ISERROR(SEARCH("SI CUMPLE",T54)))</formula>
    </cfRule>
  </conditionalFormatting>
  <conditionalFormatting sqref="X54:X55">
    <cfRule type="containsText" dxfId="193" priority="197" operator="containsText" text="NO CUMPLE">
      <formula>NOT(ISERROR(SEARCH("NO CUMPLE",X54)))</formula>
    </cfRule>
    <cfRule type="containsText" dxfId="192" priority="198" operator="containsText" text="SI CUMPLE">
      <formula>NOT(ISERROR(SEARCH("SI CUMPLE",X54)))</formula>
    </cfRule>
  </conditionalFormatting>
  <conditionalFormatting sqref="AB54:AB55">
    <cfRule type="containsText" dxfId="191" priority="195" operator="containsText" text="NO CUMPLE">
      <formula>NOT(ISERROR(SEARCH("NO CUMPLE",AB54)))</formula>
    </cfRule>
    <cfRule type="containsText" dxfId="190" priority="196" operator="containsText" text="SI CUMPLE">
      <formula>NOT(ISERROR(SEARCH("SI CUMPLE",AB54)))</formula>
    </cfRule>
  </conditionalFormatting>
  <conditionalFormatting sqref="AF54:AF55">
    <cfRule type="containsText" dxfId="189" priority="193" operator="containsText" text="NO CUMPLE">
      <formula>NOT(ISERROR(SEARCH("NO CUMPLE",AF54)))</formula>
    </cfRule>
    <cfRule type="containsText" dxfId="188" priority="194" operator="containsText" text="SI CUMPLE">
      <formula>NOT(ISERROR(SEARCH("SI CUMPLE",AF54)))</formula>
    </cfRule>
  </conditionalFormatting>
  <conditionalFormatting sqref="AJ54:AJ55">
    <cfRule type="containsText" dxfId="187" priority="191" operator="containsText" text="NO CUMPLE">
      <formula>NOT(ISERROR(SEARCH("NO CUMPLE",AJ54)))</formula>
    </cfRule>
    <cfRule type="containsText" dxfId="186" priority="192" operator="containsText" text="SI CUMPLE">
      <formula>NOT(ISERROR(SEARCH("SI CUMPLE",AJ54)))</formula>
    </cfRule>
  </conditionalFormatting>
  <conditionalFormatting sqref="AN54:AN55">
    <cfRule type="containsText" dxfId="185" priority="189" operator="containsText" text="NO CUMPLE">
      <formula>NOT(ISERROR(SEARCH("NO CUMPLE",AN54)))</formula>
    </cfRule>
    <cfRule type="containsText" dxfId="184" priority="190" operator="containsText" text="SI CUMPLE">
      <formula>NOT(ISERROR(SEARCH("SI CUMPLE",AN54)))</formula>
    </cfRule>
  </conditionalFormatting>
  <conditionalFormatting sqref="AR54:AR55">
    <cfRule type="containsText" dxfId="183" priority="187" operator="containsText" text="NO CUMPLE">
      <formula>NOT(ISERROR(SEARCH("NO CUMPLE",AR54)))</formula>
    </cfRule>
    <cfRule type="containsText" dxfId="182" priority="188" operator="containsText" text="SI CUMPLE">
      <formula>NOT(ISERROR(SEARCH("SI CUMPLE",AR54)))</formula>
    </cfRule>
  </conditionalFormatting>
  <conditionalFormatting sqref="AV54:AV55">
    <cfRule type="containsText" dxfId="181" priority="185" operator="containsText" text="NO CUMPLE">
      <formula>NOT(ISERROR(SEARCH("NO CUMPLE",AV54)))</formula>
    </cfRule>
    <cfRule type="containsText" dxfId="180" priority="186" operator="containsText" text="SI CUMPLE">
      <formula>NOT(ISERROR(SEARCH("SI CUMPLE",AV54)))</formula>
    </cfRule>
  </conditionalFormatting>
  <conditionalFormatting sqref="AZ54:AZ55">
    <cfRule type="containsText" dxfId="179" priority="183" operator="containsText" text="NO CUMPLE">
      <formula>NOT(ISERROR(SEARCH("NO CUMPLE",AZ54)))</formula>
    </cfRule>
    <cfRule type="containsText" dxfId="178" priority="184" operator="containsText" text="SI CUMPLE">
      <formula>NOT(ISERROR(SEARCH("SI CUMPLE",AZ54)))</formula>
    </cfRule>
  </conditionalFormatting>
  <conditionalFormatting sqref="BD54:BD55">
    <cfRule type="containsText" dxfId="177" priority="181" operator="containsText" text="NO CUMPLE">
      <formula>NOT(ISERROR(SEARCH("NO CUMPLE",BD54)))</formula>
    </cfRule>
    <cfRule type="containsText" dxfId="176" priority="182" operator="containsText" text="SI CUMPLE">
      <formula>NOT(ISERROR(SEARCH("SI CUMPLE",BD54)))</formula>
    </cfRule>
  </conditionalFormatting>
  <conditionalFormatting sqref="L56:L57">
    <cfRule type="containsText" dxfId="175" priority="179" operator="containsText" text="NO CUMPLE">
      <formula>NOT(ISERROR(SEARCH("NO CUMPLE",L56)))</formula>
    </cfRule>
    <cfRule type="containsText" dxfId="174" priority="180" operator="containsText" text="SI CUMPLE">
      <formula>NOT(ISERROR(SEARCH("SI CUMPLE",L56)))</formula>
    </cfRule>
  </conditionalFormatting>
  <conditionalFormatting sqref="P56:P57">
    <cfRule type="containsText" dxfId="173" priority="177" operator="containsText" text="NO CUMPLE">
      <formula>NOT(ISERROR(SEARCH("NO CUMPLE",P56)))</formula>
    </cfRule>
    <cfRule type="containsText" dxfId="172" priority="178" operator="containsText" text="SI CUMPLE">
      <formula>NOT(ISERROR(SEARCH("SI CUMPLE",P56)))</formula>
    </cfRule>
  </conditionalFormatting>
  <conditionalFormatting sqref="T56:T57">
    <cfRule type="containsText" dxfId="171" priority="175" operator="containsText" text="NO CUMPLE">
      <formula>NOT(ISERROR(SEARCH("NO CUMPLE",T56)))</formula>
    </cfRule>
    <cfRule type="containsText" dxfId="170" priority="176" operator="containsText" text="SI CUMPLE">
      <formula>NOT(ISERROR(SEARCH("SI CUMPLE",T56)))</formula>
    </cfRule>
  </conditionalFormatting>
  <conditionalFormatting sqref="X56:X57">
    <cfRule type="containsText" dxfId="169" priority="173" operator="containsText" text="NO CUMPLE">
      <formula>NOT(ISERROR(SEARCH("NO CUMPLE",X56)))</formula>
    </cfRule>
    <cfRule type="containsText" dxfId="168" priority="174" operator="containsText" text="SI CUMPLE">
      <formula>NOT(ISERROR(SEARCH("SI CUMPLE",X56)))</formula>
    </cfRule>
  </conditionalFormatting>
  <conditionalFormatting sqref="AB56:AB57">
    <cfRule type="containsText" dxfId="167" priority="171" operator="containsText" text="NO CUMPLE">
      <formula>NOT(ISERROR(SEARCH("NO CUMPLE",AB56)))</formula>
    </cfRule>
    <cfRule type="containsText" dxfId="166" priority="172" operator="containsText" text="SI CUMPLE">
      <formula>NOT(ISERROR(SEARCH("SI CUMPLE",AB56)))</formula>
    </cfRule>
  </conditionalFormatting>
  <conditionalFormatting sqref="AF56:AF57">
    <cfRule type="containsText" dxfId="165" priority="169" operator="containsText" text="NO CUMPLE">
      <formula>NOT(ISERROR(SEARCH("NO CUMPLE",AF56)))</formula>
    </cfRule>
    <cfRule type="containsText" dxfId="164" priority="170" operator="containsText" text="SI CUMPLE">
      <formula>NOT(ISERROR(SEARCH("SI CUMPLE",AF56)))</formula>
    </cfRule>
  </conditionalFormatting>
  <conditionalFormatting sqref="AJ56:AJ57">
    <cfRule type="containsText" dxfId="163" priority="167" operator="containsText" text="NO CUMPLE">
      <formula>NOT(ISERROR(SEARCH("NO CUMPLE",AJ56)))</formula>
    </cfRule>
    <cfRule type="containsText" dxfId="162" priority="168" operator="containsText" text="SI CUMPLE">
      <formula>NOT(ISERROR(SEARCH("SI CUMPLE",AJ56)))</formula>
    </cfRule>
  </conditionalFormatting>
  <conditionalFormatting sqref="AN56:AN57">
    <cfRule type="containsText" dxfId="161" priority="165" operator="containsText" text="NO CUMPLE">
      <formula>NOT(ISERROR(SEARCH("NO CUMPLE",AN56)))</formula>
    </cfRule>
    <cfRule type="containsText" dxfId="160" priority="166" operator="containsText" text="SI CUMPLE">
      <formula>NOT(ISERROR(SEARCH("SI CUMPLE",AN56)))</formula>
    </cfRule>
  </conditionalFormatting>
  <conditionalFormatting sqref="AR56:AR57">
    <cfRule type="containsText" dxfId="159" priority="163" operator="containsText" text="NO CUMPLE">
      <formula>NOT(ISERROR(SEARCH("NO CUMPLE",AR56)))</formula>
    </cfRule>
    <cfRule type="containsText" dxfId="158" priority="164" operator="containsText" text="SI CUMPLE">
      <formula>NOT(ISERROR(SEARCH("SI CUMPLE",AR56)))</formula>
    </cfRule>
  </conditionalFormatting>
  <conditionalFormatting sqref="AV56:AV57">
    <cfRule type="containsText" dxfId="157" priority="161" operator="containsText" text="NO CUMPLE">
      <formula>NOT(ISERROR(SEARCH("NO CUMPLE",AV56)))</formula>
    </cfRule>
    <cfRule type="containsText" dxfId="156" priority="162" operator="containsText" text="SI CUMPLE">
      <formula>NOT(ISERROR(SEARCH("SI CUMPLE",AV56)))</formula>
    </cfRule>
  </conditionalFormatting>
  <conditionalFormatting sqref="AZ56:AZ57">
    <cfRule type="containsText" dxfId="155" priority="159" operator="containsText" text="NO CUMPLE">
      <formula>NOT(ISERROR(SEARCH("NO CUMPLE",AZ56)))</formula>
    </cfRule>
    <cfRule type="containsText" dxfId="154" priority="160" operator="containsText" text="SI CUMPLE">
      <formula>NOT(ISERROR(SEARCH("SI CUMPLE",AZ56)))</formula>
    </cfRule>
  </conditionalFormatting>
  <conditionalFormatting sqref="BD56:BD57">
    <cfRule type="containsText" dxfId="153" priority="157" operator="containsText" text="NO CUMPLE">
      <formula>NOT(ISERROR(SEARCH("NO CUMPLE",BD56)))</formula>
    </cfRule>
    <cfRule type="containsText" dxfId="152" priority="158" operator="containsText" text="SI CUMPLE">
      <formula>NOT(ISERROR(SEARCH("SI CUMPLE",BD56)))</formula>
    </cfRule>
  </conditionalFormatting>
  <conditionalFormatting sqref="BD62:BD63">
    <cfRule type="containsText" dxfId="151" priority="155" operator="containsText" text="NO CUMPLE">
      <formula>NOT(ISERROR(SEARCH("NO CUMPLE",BD62)))</formula>
    </cfRule>
    <cfRule type="containsText" dxfId="150" priority="156" operator="containsText" text="SI CUMPLE">
      <formula>NOT(ISERROR(SEARCH("SI CUMPLE",BD62)))</formula>
    </cfRule>
  </conditionalFormatting>
  <conditionalFormatting sqref="L62:L63">
    <cfRule type="containsText" dxfId="149" priority="153" operator="containsText" text="NO CUMPLE">
      <formula>NOT(ISERROR(SEARCH("NO CUMPLE",L62)))</formula>
    </cfRule>
    <cfRule type="containsText" dxfId="148" priority="154" operator="containsText" text="SI CUMPLE">
      <formula>NOT(ISERROR(SEARCH("SI CUMPLE",L62)))</formula>
    </cfRule>
  </conditionalFormatting>
  <conditionalFormatting sqref="P62:P63">
    <cfRule type="containsText" dxfId="147" priority="151" operator="containsText" text="NO CUMPLE">
      <formula>NOT(ISERROR(SEARCH("NO CUMPLE",P62)))</formula>
    </cfRule>
    <cfRule type="containsText" dxfId="146" priority="152" operator="containsText" text="SI CUMPLE">
      <formula>NOT(ISERROR(SEARCH("SI CUMPLE",P62)))</formula>
    </cfRule>
  </conditionalFormatting>
  <conditionalFormatting sqref="T62:T63">
    <cfRule type="containsText" dxfId="145" priority="149" operator="containsText" text="NO CUMPLE">
      <formula>NOT(ISERROR(SEARCH("NO CUMPLE",T62)))</formula>
    </cfRule>
    <cfRule type="containsText" dxfId="144" priority="150" operator="containsText" text="SI CUMPLE">
      <formula>NOT(ISERROR(SEARCH("SI CUMPLE",T62)))</formula>
    </cfRule>
  </conditionalFormatting>
  <conditionalFormatting sqref="X62:X63">
    <cfRule type="containsText" dxfId="143" priority="147" operator="containsText" text="NO CUMPLE">
      <formula>NOT(ISERROR(SEARCH("NO CUMPLE",X62)))</formula>
    </cfRule>
    <cfRule type="containsText" dxfId="142" priority="148" operator="containsText" text="SI CUMPLE">
      <formula>NOT(ISERROR(SEARCH("SI CUMPLE",X62)))</formula>
    </cfRule>
  </conditionalFormatting>
  <conditionalFormatting sqref="AB62:AB63">
    <cfRule type="containsText" dxfId="141" priority="145" operator="containsText" text="NO CUMPLE">
      <formula>NOT(ISERROR(SEARCH("NO CUMPLE",AB62)))</formula>
    </cfRule>
    <cfRule type="containsText" dxfId="140" priority="146" operator="containsText" text="SI CUMPLE">
      <formula>NOT(ISERROR(SEARCH("SI CUMPLE",AB62)))</formula>
    </cfRule>
  </conditionalFormatting>
  <conditionalFormatting sqref="AF62:AF63">
    <cfRule type="containsText" dxfId="139" priority="143" operator="containsText" text="NO CUMPLE">
      <formula>NOT(ISERROR(SEARCH("NO CUMPLE",AF62)))</formula>
    </cfRule>
    <cfRule type="containsText" dxfId="138" priority="144" operator="containsText" text="SI CUMPLE">
      <formula>NOT(ISERROR(SEARCH("SI CUMPLE",AF62)))</formula>
    </cfRule>
  </conditionalFormatting>
  <conditionalFormatting sqref="AJ62:AJ63">
    <cfRule type="containsText" dxfId="137" priority="141" operator="containsText" text="NO CUMPLE">
      <formula>NOT(ISERROR(SEARCH("NO CUMPLE",AJ62)))</formula>
    </cfRule>
    <cfRule type="containsText" dxfId="136" priority="142" operator="containsText" text="SI CUMPLE">
      <formula>NOT(ISERROR(SEARCH("SI CUMPLE",AJ62)))</formula>
    </cfRule>
  </conditionalFormatting>
  <conditionalFormatting sqref="AN62:AN63">
    <cfRule type="containsText" dxfId="135" priority="139" operator="containsText" text="NO CUMPLE">
      <formula>NOT(ISERROR(SEARCH("NO CUMPLE",AN62)))</formula>
    </cfRule>
    <cfRule type="containsText" dxfId="134" priority="140" operator="containsText" text="SI CUMPLE">
      <formula>NOT(ISERROR(SEARCH("SI CUMPLE",AN62)))</formula>
    </cfRule>
  </conditionalFormatting>
  <conditionalFormatting sqref="AR62:AR63">
    <cfRule type="containsText" dxfId="133" priority="137" operator="containsText" text="NO CUMPLE">
      <formula>NOT(ISERROR(SEARCH("NO CUMPLE",AR62)))</formula>
    </cfRule>
    <cfRule type="containsText" dxfId="132" priority="138" operator="containsText" text="SI CUMPLE">
      <formula>NOT(ISERROR(SEARCH("SI CUMPLE",AR62)))</formula>
    </cfRule>
  </conditionalFormatting>
  <conditionalFormatting sqref="AV62:AV63">
    <cfRule type="containsText" dxfId="131" priority="135" operator="containsText" text="NO CUMPLE">
      <formula>NOT(ISERROR(SEARCH("NO CUMPLE",AV62)))</formula>
    </cfRule>
    <cfRule type="containsText" dxfId="130" priority="136" operator="containsText" text="SI CUMPLE">
      <formula>NOT(ISERROR(SEARCH("SI CUMPLE",AV62)))</formula>
    </cfRule>
  </conditionalFormatting>
  <conditionalFormatting sqref="AZ62:AZ63">
    <cfRule type="containsText" dxfId="129" priority="133" operator="containsText" text="NO CUMPLE">
      <formula>NOT(ISERROR(SEARCH("NO CUMPLE",AZ62)))</formula>
    </cfRule>
    <cfRule type="containsText" dxfId="128" priority="134" operator="containsText" text="SI CUMPLE">
      <formula>NOT(ISERROR(SEARCH("SI CUMPLE",AZ62)))</formula>
    </cfRule>
  </conditionalFormatting>
  <conditionalFormatting sqref="BD64:BD65">
    <cfRule type="containsText" dxfId="127" priority="131" operator="containsText" text="NO CUMPLE">
      <formula>NOT(ISERROR(SEARCH("NO CUMPLE",BD64)))</formula>
    </cfRule>
    <cfRule type="containsText" dxfId="126" priority="132" operator="containsText" text="SI CUMPLE">
      <formula>NOT(ISERROR(SEARCH("SI CUMPLE",BD64)))</formula>
    </cfRule>
  </conditionalFormatting>
  <conditionalFormatting sqref="L64:L65">
    <cfRule type="containsText" dxfId="125" priority="129" operator="containsText" text="NO CUMPLE">
      <formula>NOT(ISERROR(SEARCH("NO CUMPLE",L64)))</formula>
    </cfRule>
    <cfRule type="containsText" dxfId="124" priority="130" operator="containsText" text="SI CUMPLE">
      <formula>NOT(ISERROR(SEARCH("SI CUMPLE",L64)))</formula>
    </cfRule>
  </conditionalFormatting>
  <conditionalFormatting sqref="P64:P65">
    <cfRule type="containsText" dxfId="123" priority="127" operator="containsText" text="NO CUMPLE">
      <formula>NOT(ISERROR(SEARCH("NO CUMPLE",P64)))</formula>
    </cfRule>
    <cfRule type="containsText" dxfId="122" priority="128" operator="containsText" text="SI CUMPLE">
      <formula>NOT(ISERROR(SEARCH("SI CUMPLE",P64)))</formula>
    </cfRule>
  </conditionalFormatting>
  <conditionalFormatting sqref="T64:T65">
    <cfRule type="containsText" dxfId="121" priority="125" operator="containsText" text="NO CUMPLE">
      <formula>NOT(ISERROR(SEARCH("NO CUMPLE",T64)))</formula>
    </cfRule>
    <cfRule type="containsText" dxfId="120" priority="126" operator="containsText" text="SI CUMPLE">
      <formula>NOT(ISERROR(SEARCH("SI CUMPLE",T64)))</formula>
    </cfRule>
  </conditionalFormatting>
  <conditionalFormatting sqref="X64:X65">
    <cfRule type="containsText" dxfId="119" priority="123" operator="containsText" text="NO CUMPLE">
      <formula>NOT(ISERROR(SEARCH("NO CUMPLE",X64)))</formula>
    </cfRule>
    <cfRule type="containsText" dxfId="118" priority="124" operator="containsText" text="SI CUMPLE">
      <formula>NOT(ISERROR(SEARCH("SI CUMPLE",X64)))</formula>
    </cfRule>
  </conditionalFormatting>
  <conditionalFormatting sqref="AB64:AB65">
    <cfRule type="containsText" dxfId="117" priority="121" operator="containsText" text="NO CUMPLE">
      <formula>NOT(ISERROR(SEARCH("NO CUMPLE",AB64)))</formula>
    </cfRule>
    <cfRule type="containsText" dxfId="116" priority="122" operator="containsText" text="SI CUMPLE">
      <formula>NOT(ISERROR(SEARCH("SI CUMPLE",AB64)))</formula>
    </cfRule>
  </conditionalFormatting>
  <conditionalFormatting sqref="AF64:AF65">
    <cfRule type="containsText" dxfId="115" priority="119" operator="containsText" text="NO CUMPLE">
      <formula>NOT(ISERROR(SEARCH("NO CUMPLE",AF64)))</formula>
    </cfRule>
    <cfRule type="containsText" dxfId="114" priority="120" operator="containsText" text="SI CUMPLE">
      <formula>NOT(ISERROR(SEARCH("SI CUMPLE",AF64)))</formula>
    </cfRule>
  </conditionalFormatting>
  <conditionalFormatting sqref="AJ64:AJ65">
    <cfRule type="containsText" dxfId="113" priority="117" operator="containsText" text="NO CUMPLE">
      <formula>NOT(ISERROR(SEARCH("NO CUMPLE",AJ64)))</formula>
    </cfRule>
    <cfRule type="containsText" dxfId="112" priority="118" operator="containsText" text="SI CUMPLE">
      <formula>NOT(ISERROR(SEARCH("SI CUMPLE",AJ64)))</formula>
    </cfRule>
  </conditionalFormatting>
  <conditionalFormatting sqref="AN64:AN65">
    <cfRule type="containsText" dxfId="111" priority="115" operator="containsText" text="NO CUMPLE">
      <formula>NOT(ISERROR(SEARCH("NO CUMPLE",AN64)))</formula>
    </cfRule>
    <cfRule type="containsText" dxfId="110" priority="116" operator="containsText" text="SI CUMPLE">
      <formula>NOT(ISERROR(SEARCH("SI CUMPLE",AN64)))</formula>
    </cfRule>
  </conditionalFormatting>
  <conditionalFormatting sqref="AR64:AR65">
    <cfRule type="containsText" dxfId="109" priority="113" operator="containsText" text="NO CUMPLE">
      <formula>NOT(ISERROR(SEARCH("NO CUMPLE",AR64)))</formula>
    </cfRule>
    <cfRule type="containsText" dxfId="108" priority="114" operator="containsText" text="SI CUMPLE">
      <formula>NOT(ISERROR(SEARCH("SI CUMPLE",AR64)))</formula>
    </cfRule>
  </conditionalFormatting>
  <conditionalFormatting sqref="AV64:AV65">
    <cfRule type="containsText" dxfId="107" priority="111" operator="containsText" text="NO CUMPLE">
      <formula>NOT(ISERROR(SEARCH("NO CUMPLE",AV64)))</formula>
    </cfRule>
    <cfRule type="containsText" dxfId="106" priority="112" operator="containsText" text="SI CUMPLE">
      <formula>NOT(ISERROR(SEARCH("SI CUMPLE",AV64)))</formula>
    </cfRule>
  </conditionalFormatting>
  <conditionalFormatting sqref="AZ64:AZ65">
    <cfRule type="containsText" dxfId="105" priority="109" operator="containsText" text="NO CUMPLE">
      <formula>NOT(ISERROR(SEARCH("NO CUMPLE",AZ64)))</formula>
    </cfRule>
    <cfRule type="containsText" dxfId="104" priority="110" operator="containsText" text="SI CUMPLE">
      <formula>NOT(ISERROR(SEARCH("SI CUMPLE",AZ64)))</formula>
    </cfRule>
  </conditionalFormatting>
  <conditionalFormatting sqref="P66:P67">
    <cfRule type="containsText" dxfId="103" priority="103" operator="containsText" text="NO CUMPLE">
      <formula>NOT(ISERROR(SEARCH("NO CUMPLE",P66)))</formula>
    </cfRule>
    <cfRule type="containsText" dxfId="102" priority="104" operator="containsText" text="SI CUMPLE">
      <formula>NOT(ISERROR(SEARCH("SI CUMPLE",P66)))</formula>
    </cfRule>
  </conditionalFormatting>
  <conditionalFormatting sqref="L66:L67">
    <cfRule type="containsText" dxfId="101" priority="105" operator="containsText" text="NO CUMPLE">
      <formula>NOT(ISERROR(SEARCH("NO CUMPLE",L66)))</formula>
    </cfRule>
    <cfRule type="containsText" dxfId="100" priority="106" operator="containsText" text="SI CUMPLE">
      <formula>NOT(ISERROR(SEARCH("SI CUMPLE",L66)))</formula>
    </cfRule>
  </conditionalFormatting>
  <conditionalFormatting sqref="T66:T67">
    <cfRule type="containsText" dxfId="99" priority="101" operator="containsText" text="NO CUMPLE">
      <formula>NOT(ISERROR(SEARCH("NO CUMPLE",T66)))</formula>
    </cfRule>
    <cfRule type="containsText" dxfId="98" priority="102" operator="containsText" text="SI CUMPLE">
      <formula>NOT(ISERROR(SEARCH("SI CUMPLE",T66)))</formula>
    </cfRule>
  </conditionalFormatting>
  <conditionalFormatting sqref="X66:X67">
    <cfRule type="containsText" dxfId="97" priority="99" operator="containsText" text="NO CUMPLE">
      <formula>NOT(ISERROR(SEARCH("NO CUMPLE",X66)))</formula>
    </cfRule>
    <cfRule type="containsText" dxfId="96" priority="100" operator="containsText" text="SI CUMPLE">
      <formula>NOT(ISERROR(SEARCH("SI CUMPLE",X66)))</formula>
    </cfRule>
  </conditionalFormatting>
  <conditionalFormatting sqref="AB66:AB67">
    <cfRule type="containsText" dxfId="95" priority="97" operator="containsText" text="NO CUMPLE">
      <formula>NOT(ISERROR(SEARCH("NO CUMPLE",AB66)))</formula>
    </cfRule>
    <cfRule type="containsText" dxfId="94" priority="98" operator="containsText" text="SI CUMPLE">
      <formula>NOT(ISERROR(SEARCH("SI CUMPLE",AB66)))</formula>
    </cfRule>
  </conditionalFormatting>
  <conditionalFormatting sqref="AF66:AF67">
    <cfRule type="containsText" dxfId="93" priority="95" operator="containsText" text="NO CUMPLE">
      <formula>NOT(ISERROR(SEARCH("NO CUMPLE",AF66)))</formula>
    </cfRule>
    <cfRule type="containsText" dxfId="92" priority="96" operator="containsText" text="SI CUMPLE">
      <formula>NOT(ISERROR(SEARCH("SI CUMPLE",AF66)))</formula>
    </cfRule>
  </conditionalFormatting>
  <conditionalFormatting sqref="AJ66:AJ67">
    <cfRule type="containsText" dxfId="91" priority="93" operator="containsText" text="NO CUMPLE">
      <formula>NOT(ISERROR(SEARCH("NO CUMPLE",AJ66)))</formula>
    </cfRule>
    <cfRule type="containsText" dxfId="90" priority="94" operator="containsText" text="SI CUMPLE">
      <formula>NOT(ISERROR(SEARCH("SI CUMPLE",AJ66)))</formula>
    </cfRule>
  </conditionalFormatting>
  <conditionalFormatting sqref="AN66:AN67">
    <cfRule type="containsText" dxfId="89" priority="91" operator="containsText" text="NO CUMPLE">
      <formula>NOT(ISERROR(SEARCH("NO CUMPLE",AN66)))</formula>
    </cfRule>
    <cfRule type="containsText" dxfId="88" priority="92" operator="containsText" text="SI CUMPLE">
      <formula>NOT(ISERROR(SEARCH("SI CUMPLE",AN66)))</formula>
    </cfRule>
  </conditionalFormatting>
  <conditionalFormatting sqref="AR66:AR67">
    <cfRule type="containsText" dxfId="87" priority="89" operator="containsText" text="NO CUMPLE">
      <formula>NOT(ISERROR(SEARCH("NO CUMPLE",AR66)))</formula>
    </cfRule>
    <cfRule type="containsText" dxfId="86" priority="90" operator="containsText" text="SI CUMPLE">
      <formula>NOT(ISERROR(SEARCH("SI CUMPLE",AR66)))</formula>
    </cfRule>
  </conditionalFormatting>
  <conditionalFormatting sqref="AV66:AV67">
    <cfRule type="containsText" dxfId="85" priority="87" operator="containsText" text="NO CUMPLE">
      <formula>NOT(ISERROR(SEARCH("NO CUMPLE",AV66)))</formula>
    </cfRule>
    <cfRule type="containsText" dxfId="84" priority="88" operator="containsText" text="SI CUMPLE">
      <formula>NOT(ISERROR(SEARCH("SI CUMPLE",AV66)))</formula>
    </cfRule>
  </conditionalFormatting>
  <conditionalFormatting sqref="AZ66:AZ67">
    <cfRule type="containsText" dxfId="83" priority="85" operator="containsText" text="NO CUMPLE">
      <formula>NOT(ISERROR(SEARCH("NO CUMPLE",AZ66)))</formula>
    </cfRule>
    <cfRule type="containsText" dxfId="82" priority="86" operator="containsText" text="SI CUMPLE">
      <formula>NOT(ISERROR(SEARCH("SI CUMPLE",AZ66)))</formula>
    </cfRule>
  </conditionalFormatting>
  <conditionalFormatting sqref="BD66:BD67">
    <cfRule type="containsText" dxfId="81" priority="83" operator="containsText" text="NO CUMPLE">
      <formula>NOT(ISERROR(SEARCH("NO CUMPLE",BD66)))</formula>
    </cfRule>
    <cfRule type="containsText" dxfId="80" priority="84" operator="containsText" text="SI CUMPLE">
      <formula>NOT(ISERROR(SEARCH("SI CUMPLE",BD66)))</formula>
    </cfRule>
  </conditionalFormatting>
  <conditionalFormatting sqref="BD68">
    <cfRule type="containsText" dxfId="79" priority="81" operator="containsText" text="NO CUMPLE">
      <formula>NOT(ISERROR(SEARCH("NO CUMPLE",BD68)))</formula>
    </cfRule>
    <cfRule type="containsText" dxfId="78" priority="82" operator="containsText" text="SI CUMPLE">
      <formula>NOT(ISERROR(SEARCH("SI CUMPLE",BD68)))</formula>
    </cfRule>
  </conditionalFormatting>
  <conditionalFormatting sqref="P69:P70">
    <cfRule type="containsText" dxfId="77" priority="77" operator="containsText" text="NO CUMPLE">
      <formula>NOT(ISERROR(SEARCH("NO CUMPLE",P69)))</formula>
    </cfRule>
    <cfRule type="containsText" dxfId="76" priority="78" operator="containsText" text="SI CUMPLE">
      <formula>NOT(ISERROR(SEARCH("SI CUMPLE",P69)))</formula>
    </cfRule>
  </conditionalFormatting>
  <conditionalFormatting sqref="L69:L70">
    <cfRule type="containsText" dxfId="75" priority="79" operator="containsText" text="NO CUMPLE">
      <formula>NOT(ISERROR(SEARCH("NO CUMPLE",L69)))</formula>
    </cfRule>
    <cfRule type="containsText" dxfId="74" priority="80" operator="containsText" text="SI CUMPLE">
      <formula>NOT(ISERROR(SEARCH("SI CUMPLE",L69)))</formula>
    </cfRule>
  </conditionalFormatting>
  <conditionalFormatting sqref="T69:T70">
    <cfRule type="containsText" dxfId="73" priority="75" operator="containsText" text="NO CUMPLE">
      <formula>NOT(ISERROR(SEARCH("NO CUMPLE",T69)))</formula>
    </cfRule>
    <cfRule type="containsText" dxfId="72" priority="76" operator="containsText" text="SI CUMPLE">
      <formula>NOT(ISERROR(SEARCH("SI CUMPLE",T69)))</formula>
    </cfRule>
  </conditionalFormatting>
  <conditionalFormatting sqref="X69:X70">
    <cfRule type="containsText" dxfId="71" priority="73" operator="containsText" text="NO CUMPLE">
      <formula>NOT(ISERROR(SEARCH("NO CUMPLE",X69)))</formula>
    </cfRule>
    <cfRule type="containsText" dxfId="70" priority="74" operator="containsText" text="SI CUMPLE">
      <formula>NOT(ISERROR(SEARCH("SI CUMPLE",X69)))</formula>
    </cfRule>
  </conditionalFormatting>
  <conditionalFormatting sqref="AB69:AB70">
    <cfRule type="containsText" dxfId="69" priority="71" operator="containsText" text="NO CUMPLE">
      <formula>NOT(ISERROR(SEARCH("NO CUMPLE",AB69)))</formula>
    </cfRule>
    <cfRule type="containsText" dxfId="68" priority="72" operator="containsText" text="SI CUMPLE">
      <formula>NOT(ISERROR(SEARCH("SI CUMPLE",AB69)))</formula>
    </cfRule>
  </conditionalFormatting>
  <conditionalFormatting sqref="AF69:AF70">
    <cfRule type="containsText" dxfId="67" priority="69" operator="containsText" text="NO CUMPLE">
      <formula>NOT(ISERROR(SEARCH("NO CUMPLE",AF69)))</formula>
    </cfRule>
    <cfRule type="containsText" dxfId="66" priority="70" operator="containsText" text="SI CUMPLE">
      <formula>NOT(ISERROR(SEARCH("SI CUMPLE",AF69)))</formula>
    </cfRule>
  </conditionalFormatting>
  <conditionalFormatting sqref="AJ69:AJ70">
    <cfRule type="containsText" dxfId="65" priority="67" operator="containsText" text="NO CUMPLE">
      <formula>NOT(ISERROR(SEARCH("NO CUMPLE",AJ69)))</formula>
    </cfRule>
    <cfRule type="containsText" dxfId="64" priority="68" operator="containsText" text="SI CUMPLE">
      <formula>NOT(ISERROR(SEARCH("SI CUMPLE",AJ69)))</formula>
    </cfRule>
  </conditionalFormatting>
  <conditionalFormatting sqref="AN69:AN70">
    <cfRule type="containsText" dxfId="63" priority="65" operator="containsText" text="NO CUMPLE">
      <formula>NOT(ISERROR(SEARCH("NO CUMPLE",AN69)))</formula>
    </cfRule>
    <cfRule type="containsText" dxfId="62" priority="66" operator="containsText" text="SI CUMPLE">
      <formula>NOT(ISERROR(SEARCH("SI CUMPLE",AN69)))</formula>
    </cfRule>
  </conditionalFormatting>
  <conditionalFormatting sqref="AR69:AR70">
    <cfRule type="containsText" dxfId="61" priority="63" operator="containsText" text="NO CUMPLE">
      <formula>NOT(ISERROR(SEARCH("NO CUMPLE",AR69)))</formula>
    </cfRule>
    <cfRule type="containsText" dxfId="60" priority="64" operator="containsText" text="SI CUMPLE">
      <formula>NOT(ISERROR(SEARCH("SI CUMPLE",AR69)))</formula>
    </cfRule>
  </conditionalFormatting>
  <conditionalFormatting sqref="AV69:AV70">
    <cfRule type="containsText" dxfId="59" priority="61" operator="containsText" text="NO CUMPLE">
      <formula>NOT(ISERROR(SEARCH("NO CUMPLE",AV69)))</formula>
    </cfRule>
    <cfRule type="containsText" dxfId="58" priority="62" operator="containsText" text="SI CUMPLE">
      <formula>NOT(ISERROR(SEARCH("SI CUMPLE",AV69)))</formula>
    </cfRule>
  </conditionalFormatting>
  <conditionalFormatting sqref="AZ69:AZ70">
    <cfRule type="containsText" dxfId="57" priority="59" operator="containsText" text="NO CUMPLE">
      <formula>NOT(ISERROR(SEARCH("NO CUMPLE",AZ69)))</formula>
    </cfRule>
    <cfRule type="containsText" dxfId="56" priority="60" operator="containsText" text="SI CUMPLE">
      <formula>NOT(ISERROR(SEARCH("SI CUMPLE",AZ69)))</formula>
    </cfRule>
  </conditionalFormatting>
  <conditionalFormatting sqref="BD69:BD70">
    <cfRule type="containsText" dxfId="55" priority="57" operator="containsText" text="NO CUMPLE">
      <formula>NOT(ISERROR(SEARCH("NO CUMPLE",BD69)))</formula>
    </cfRule>
    <cfRule type="containsText" dxfId="54" priority="58" operator="containsText" text="SI CUMPLE">
      <formula>NOT(ISERROR(SEARCH("SI CUMPLE",BD69)))</formula>
    </cfRule>
  </conditionalFormatting>
  <conditionalFormatting sqref="P71:P72">
    <cfRule type="containsText" dxfId="53" priority="53" operator="containsText" text="NO CUMPLE">
      <formula>NOT(ISERROR(SEARCH("NO CUMPLE",P71)))</formula>
    </cfRule>
    <cfRule type="containsText" dxfId="52" priority="54" operator="containsText" text="SI CUMPLE">
      <formula>NOT(ISERROR(SEARCH("SI CUMPLE",P71)))</formula>
    </cfRule>
  </conditionalFormatting>
  <conditionalFormatting sqref="L71:L72">
    <cfRule type="containsText" dxfId="51" priority="55" operator="containsText" text="NO CUMPLE">
      <formula>NOT(ISERROR(SEARCH("NO CUMPLE",L71)))</formula>
    </cfRule>
    <cfRule type="containsText" dxfId="50" priority="56" operator="containsText" text="SI CUMPLE">
      <formula>NOT(ISERROR(SEARCH("SI CUMPLE",L71)))</formula>
    </cfRule>
  </conditionalFormatting>
  <conditionalFormatting sqref="T71:T72">
    <cfRule type="containsText" dxfId="49" priority="51" operator="containsText" text="NO CUMPLE">
      <formula>NOT(ISERROR(SEARCH("NO CUMPLE",T71)))</formula>
    </cfRule>
    <cfRule type="containsText" dxfId="48" priority="52" operator="containsText" text="SI CUMPLE">
      <formula>NOT(ISERROR(SEARCH("SI CUMPLE",T71)))</formula>
    </cfRule>
  </conditionalFormatting>
  <conditionalFormatting sqref="X71:X72">
    <cfRule type="containsText" dxfId="47" priority="49" operator="containsText" text="NO CUMPLE">
      <formula>NOT(ISERROR(SEARCH("NO CUMPLE",X71)))</formula>
    </cfRule>
    <cfRule type="containsText" dxfId="46" priority="50" operator="containsText" text="SI CUMPLE">
      <formula>NOT(ISERROR(SEARCH("SI CUMPLE",X71)))</formula>
    </cfRule>
  </conditionalFormatting>
  <conditionalFormatting sqref="AB71:AB72">
    <cfRule type="containsText" dxfId="45" priority="47" operator="containsText" text="NO CUMPLE">
      <formula>NOT(ISERROR(SEARCH("NO CUMPLE",AB71)))</formula>
    </cfRule>
    <cfRule type="containsText" dxfId="44" priority="48" operator="containsText" text="SI CUMPLE">
      <formula>NOT(ISERROR(SEARCH("SI CUMPLE",AB71)))</formula>
    </cfRule>
  </conditionalFormatting>
  <conditionalFormatting sqref="AF71:AF72">
    <cfRule type="containsText" dxfId="43" priority="45" operator="containsText" text="NO CUMPLE">
      <formula>NOT(ISERROR(SEARCH("NO CUMPLE",AF71)))</formula>
    </cfRule>
    <cfRule type="containsText" dxfId="42" priority="46" operator="containsText" text="SI CUMPLE">
      <formula>NOT(ISERROR(SEARCH("SI CUMPLE",AF71)))</formula>
    </cfRule>
  </conditionalFormatting>
  <conditionalFormatting sqref="AJ71:AJ72">
    <cfRule type="containsText" dxfId="41" priority="43" operator="containsText" text="NO CUMPLE">
      <formula>NOT(ISERROR(SEARCH("NO CUMPLE",AJ71)))</formula>
    </cfRule>
    <cfRule type="containsText" dxfId="40" priority="44" operator="containsText" text="SI CUMPLE">
      <formula>NOT(ISERROR(SEARCH("SI CUMPLE",AJ71)))</formula>
    </cfRule>
  </conditionalFormatting>
  <conditionalFormatting sqref="AN71:AN72">
    <cfRule type="containsText" dxfId="39" priority="41" operator="containsText" text="NO CUMPLE">
      <formula>NOT(ISERROR(SEARCH("NO CUMPLE",AN71)))</formula>
    </cfRule>
    <cfRule type="containsText" dxfId="38" priority="42" operator="containsText" text="SI CUMPLE">
      <formula>NOT(ISERROR(SEARCH("SI CUMPLE",AN71)))</formula>
    </cfRule>
  </conditionalFormatting>
  <conditionalFormatting sqref="AR71:AR72">
    <cfRule type="containsText" dxfId="37" priority="39" operator="containsText" text="NO CUMPLE">
      <formula>NOT(ISERROR(SEARCH("NO CUMPLE",AR71)))</formula>
    </cfRule>
    <cfRule type="containsText" dxfId="36" priority="40" operator="containsText" text="SI CUMPLE">
      <formula>NOT(ISERROR(SEARCH("SI CUMPLE",AR71)))</formula>
    </cfRule>
  </conditionalFormatting>
  <conditionalFormatting sqref="AV71:AV72">
    <cfRule type="containsText" dxfId="35" priority="37" operator="containsText" text="NO CUMPLE">
      <formula>NOT(ISERROR(SEARCH("NO CUMPLE",AV71)))</formula>
    </cfRule>
    <cfRule type="containsText" dxfId="34" priority="38" operator="containsText" text="SI CUMPLE">
      <formula>NOT(ISERROR(SEARCH("SI CUMPLE",AV71)))</formula>
    </cfRule>
  </conditionalFormatting>
  <conditionalFormatting sqref="AZ71:AZ72">
    <cfRule type="containsText" dxfId="33" priority="35" operator="containsText" text="NO CUMPLE">
      <formula>NOT(ISERROR(SEARCH("NO CUMPLE",AZ71)))</formula>
    </cfRule>
    <cfRule type="containsText" dxfId="32" priority="36" operator="containsText" text="SI CUMPLE">
      <formula>NOT(ISERROR(SEARCH("SI CUMPLE",AZ71)))</formula>
    </cfRule>
  </conditionalFormatting>
  <conditionalFormatting sqref="BD71:BD72">
    <cfRule type="containsText" dxfId="31" priority="33" operator="containsText" text="NO CUMPLE">
      <formula>NOT(ISERROR(SEARCH("NO CUMPLE",BD71)))</formula>
    </cfRule>
    <cfRule type="containsText" dxfId="30" priority="34" operator="containsText" text="SI CUMPLE">
      <formula>NOT(ISERROR(SEARCH("SI CUMPLE",BD71)))</formula>
    </cfRule>
  </conditionalFormatting>
  <conditionalFormatting sqref="P73:P74">
    <cfRule type="containsText" dxfId="29" priority="29" operator="containsText" text="NO CUMPLE">
      <formula>NOT(ISERROR(SEARCH("NO CUMPLE",P73)))</formula>
    </cfRule>
    <cfRule type="containsText" dxfId="28" priority="30" operator="containsText" text="SI CUMPLE">
      <formula>NOT(ISERROR(SEARCH("SI CUMPLE",P73)))</formula>
    </cfRule>
  </conditionalFormatting>
  <conditionalFormatting sqref="L73:L74">
    <cfRule type="containsText" dxfId="27" priority="31" operator="containsText" text="NO CUMPLE">
      <formula>NOT(ISERROR(SEARCH("NO CUMPLE",L73)))</formula>
    </cfRule>
    <cfRule type="containsText" dxfId="26" priority="32" operator="containsText" text="SI CUMPLE">
      <formula>NOT(ISERROR(SEARCH("SI CUMPLE",L73)))</formula>
    </cfRule>
  </conditionalFormatting>
  <conditionalFormatting sqref="T73:T74">
    <cfRule type="containsText" dxfId="25" priority="27" operator="containsText" text="NO CUMPLE">
      <formula>NOT(ISERROR(SEARCH("NO CUMPLE",T73)))</formula>
    </cfRule>
    <cfRule type="containsText" dxfId="24" priority="28" operator="containsText" text="SI CUMPLE">
      <formula>NOT(ISERROR(SEARCH("SI CUMPLE",T73)))</formula>
    </cfRule>
  </conditionalFormatting>
  <conditionalFormatting sqref="X73:X74">
    <cfRule type="containsText" dxfId="23" priority="25" operator="containsText" text="NO CUMPLE">
      <formula>NOT(ISERROR(SEARCH("NO CUMPLE",X73)))</formula>
    </cfRule>
    <cfRule type="containsText" dxfId="22" priority="26" operator="containsText" text="SI CUMPLE">
      <formula>NOT(ISERROR(SEARCH("SI CUMPLE",X73)))</formula>
    </cfRule>
  </conditionalFormatting>
  <conditionalFormatting sqref="AB73:AB74">
    <cfRule type="containsText" dxfId="21" priority="23" operator="containsText" text="NO CUMPLE">
      <formula>NOT(ISERROR(SEARCH("NO CUMPLE",AB73)))</formula>
    </cfRule>
    <cfRule type="containsText" dxfId="20" priority="24" operator="containsText" text="SI CUMPLE">
      <formula>NOT(ISERROR(SEARCH("SI CUMPLE",AB73)))</formula>
    </cfRule>
  </conditionalFormatting>
  <conditionalFormatting sqref="AF73:AF74">
    <cfRule type="containsText" dxfId="19" priority="21" operator="containsText" text="NO CUMPLE">
      <formula>NOT(ISERROR(SEARCH("NO CUMPLE",AF73)))</formula>
    </cfRule>
    <cfRule type="containsText" dxfId="18" priority="22" operator="containsText" text="SI CUMPLE">
      <formula>NOT(ISERROR(SEARCH("SI CUMPLE",AF73)))</formula>
    </cfRule>
  </conditionalFormatting>
  <conditionalFormatting sqref="AJ73:AJ74">
    <cfRule type="containsText" dxfId="17" priority="19" operator="containsText" text="NO CUMPLE">
      <formula>NOT(ISERROR(SEARCH("NO CUMPLE",AJ73)))</formula>
    </cfRule>
    <cfRule type="containsText" dxfId="16" priority="20" operator="containsText" text="SI CUMPLE">
      <formula>NOT(ISERROR(SEARCH("SI CUMPLE",AJ73)))</formula>
    </cfRule>
  </conditionalFormatting>
  <conditionalFormatting sqref="AN73:AN74">
    <cfRule type="containsText" dxfId="15" priority="17" operator="containsText" text="NO CUMPLE">
      <formula>NOT(ISERROR(SEARCH("NO CUMPLE",AN73)))</formula>
    </cfRule>
    <cfRule type="containsText" dxfId="14" priority="18" operator="containsText" text="SI CUMPLE">
      <formula>NOT(ISERROR(SEARCH("SI CUMPLE",AN73)))</formula>
    </cfRule>
  </conditionalFormatting>
  <conditionalFormatting sqref="AR73:AR74">
    <cfRule type="containsText" dxfId="13" priority="15" operator="containsText" text="NO CUMPLE">
      <formula>NOT(ISERROR(SEARCH("NO CUMPLE",AR73)))</formula>
    </cfRule>
    <cfRule type="containsText" dxfId="12" priority="16" operator="containsText" text="SI CUMPLE">
      <formula>NOT(ISERROR(SEARCH("SI CUMPLE",AR73)))</formula>
    </cfRule>
  </conditionalFormatting>
  <conditionalFormatting sqref="AV73:AV74">
    <cfRule type="containsText" dxfId="11" priority="13" operator="containsText" text="NO CUMPLE">
      <formula>NOT(ISERROR(SEARCH("NO CUMPLE",AV73)))</formula>
    </cfRule>
    <cfRule type="containsText" dxfId="10" priority="14" operator="containsText" text="SI CUMPLE">
      <formula>NOT(ISERROR(SEARCH("SI CUMPLE",AV73)))</formula>
    </cfRule>
  </conditionalFormatting>
  <conditionalFormatting sqref="AZ73:AZ74">
    <cfRule type="containsText" dxfId="9" priority="11" operator="containsText" text="NO CUMPLE">
      <formula>NOT(ISERROR(SEARCH("NO CUMPLE",AZ73)))</formula>
    </cfRule>
    <cfRule type="containsText" dxfId="8" priority="12" operator="containsText" text="SI CUMPLE">
      <formula>NOT(ISERROR(SEARCH("SI CUMPLE",AZ73)))</formula>
    </cfRule>
  </conditionalFormatting>
  <conditionalFormatting sqref="BD73:BD74">
    <cfRule type="containsText" dxfId="7" priority="7" operator="containsText" text="NO CUMPLE">
      <formula>NOT(ISERROR(SEARCH("NO CUMPLE",BD73)))</formula>
    </cfRule>
    <cfRule type="containsText" dxfId="6" priority="8" operator="containsText" text="SI CUMPLE">
      <formula>NOT(ISERROR(SEARCH("SI CUMPLE",BD73)))</formula>
    </cfRule>
  </conditionalFormatting>
  <conditionalFormatting sqref="BD75">
    <cfRule type="containsText" dxfId="5" priority="5" operator="containsText" text="NO CUMPLE">
      <formula>NOT(ISERROR(SEARCH("NO CUMPLE",BD75)))</formula>
    </cfRule>
    <cfRule type="containsText" dxfId="4" priority="6" operator="containsText" text="SI CUMPLE">
      <formula>NOT(ISERROR(SEARCH("SI CUMPLE",BD75)))</formula>
    </cfRule>
  </conditionalFormatting>
  <conditionalFormatting sqref="BD76">
    <cfRule type="containsText" dxfId="3" priority="3" operator="containsText" text="NO CUMPLE">
      <formula>NOT(ISERROR(SEARCH("NO CUMPLE",BD76)))</formula>
    </cfRule>
    <cfRule type="containsText" dxfId="2" priority="4" operator="containsText" text="SI CUMPLE">
      <formula>NOT(ISERROR(SEARCH("SI CUMPLE",BD76)))</formula>
    </cfRule>
  </conditionalFormatting>
  <conditionalFormatting sqref="BD77">
    <cfRule type="containsText" dxfId="1" priority="1" operator="containsText" text="NO CUMPLE">
      <formula>NOT(ISERROR(SEARCH("NO CUMPLE",BD77)))</formula>
    </cfRule>
    <cfRule type="containsText" dxfId="0" priority="2" operator="containsText" text="SI CUMPLE">
      <formula>NOT(ISERROR(SEARCH("SI CUMPLE",BD77)))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19"/>
  <sheetViews>
    <sheetView zoomScale="64" zoomScaleNormal="64" workbookViewId="0">
      <selection activeCell="A211" sqref="A211"/>
    </sheetView>
  </sheetViews>
  <sheetFormatPr baseColWidth="10" defaultRowHeight="14.5" x14ac:dyDescent="0.35"/>
  <cols>
    <col min="1" max="1" width="25.54296875" customWidth="1"/>
    <col min="2" max="2" width="24.7265625" customWidth="1"/>
    <col min="3" max="3" width="17.453125" style="1" customWidth="1"/>
    <col min="4" max="4" width="27.1796875" customWidth="1"/>
    <col min="5" max="5" width="18.54296875" customWidth="1"/>
    <col min="6" max="6" width="15.453125" customWidth="1"/>
    <col min="7" max="7" width="16.81640625" customWidth="1"/>
    <col min="8" max="8" width="20.26953125" style="3" customWidth="1"/>
    <col min="9" max="10" width="19" style="3" customWidth="1"/>
    <col min="11" max="11" width="19" style="7" customWidth="1"/>
    <col min="12" max="15" width="19" customWidth="1"/>
    <col min="16" max="18" width="19" style="7" customWidth="1"/>
    <col min="19" max="20" width="19" customWidth="1"/>
    <col min="21" max="23" width="19" style="7" customWidth="1"/>
    <col min="24" max="25" width="19" customWidth="1"/>
    <col min="26" max="28" width="19" style="7" customWidth="1"/>
    <col min="29" max="30" width="19" customWidth="1"/>
    <col min="31" max="33" width="19" style="7" customWidth="1"/>
    <col min="34" max="35" width="19" customWidth="1"/>
    <col min="36" max="38" width="19" style="7" customWidth="1"/>
    <col min="39" max="40" width="19" customWidth="1"/>
    <col min="41" max="41" width="19" style="7" customWidth="1"/>
    <col min="42" max="45" width="19" customWidth="1"/>
    <col min="46" max="48" width="19" style="7" customWidth="1"/>
    <col min="49" max="51" width="19" customWidth="1"/>
    <col min="52" max="53" width="19" style="7" customWidth="1"/>
    <col min="54" max="56" width="19" customWidth="1"/>
    <col min="57" max="58" width="19" style="7" customWidth="1"/>
    <col min="59" max="60" width="19" customWidth="1"/>
    <col min="61" max="63" width="19" style="7" customWidth="1"/>
    <col min="64" max="65" width="19" customWidth="1"/>
    <col min="66" max="66" width="19" style="7" customWidth="1"/>
    <col min="67" max="68" width="19" customWidth="1"/>
  </cols>
  <sheetData>
    <row r="1" spans="1:68" ht="60" customHeight="1" x14ac:dyDescent="0.35">
      <c r="A1" s="64" t="s">
        <v>109</v>
      </c>
      <c r="B1" s="152" t="s">
        <v>308</v>
      </c>
      <c r="C1" s="153"/>
      <c r="D1" s="153"/>
      <c r="E1" s="153"/>
      <c r="F1" s="153"/>
      <c r="G1" s="153"/>
      <c r="H1" s="154"/>
      <c r="I1" s="155" t="s">
        <v>123</v>
      </c>
      <c r="J1" s="156"/>
      <c r="K1" s="17"/>
      <c r="L1" s="18"/>
      <c r="M1" s="18"/>
      <c r="N1" s="18"/>
      <c r="O1" s="18"/>
      <c r="P1" s="19"/>
      <c r="Q1" s="19"/>
      <c r="R1" s="19"/>
      <c r="S1" s="18"/>
      <c r="T1" s="18"/>
      <c r="U1" s="19"/>
      <c r="V1" s="9"/>
      <c r="W1" s="9"/>
      <c r="X1" s="15"/>
      <c r="Y1" s="15"/>
      <c r="BN1" s="157"/>
      <c r="BO1" s="158"/>
      <c r="BP1" s="15"/>
    </row>
    <row r="2" spans="1:68" ht="15" customHeight="1" x14ac:dyDescent="0.35">
      <c r="A2" s="94" t="s">
        <v>309</v>
      </c>
      <c r="B2" s="94"/>
      <c r="C2" s="94"/>
      <c r="D2" s="94"/>
      <c r="E2" s="94"/>
      <c r="F2" s="94"/>
      <c r="G2" s="94"/>
      <c r="H2" s="94"/>
      <c r="I2" s="123" t="s">
        <v>33</v>
      </c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4"/>
    </row>
    <row r="3" spans="1:68" ht="15.75" customHeight="1" x14ac:dyDescent="0.35">
      <c r="A3" s="94"/>
      <c r="B3" s="94"/>
      <c r="C3" s="94"/>
      <c r="D3" s="94"/>
      <c r="E3" s="94"/>
      <c r="F3" s="94"/>
      <c r="G3" s="94"/>
      <c r="H3" s="94"/>
      <c r="I3" s="125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6"/>
    </row>
    <row r="4" spans="1:68" ht="21" x14ac:dyDescent="0.3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20</v>
      </c>
      <c r="I4" s="97" t="s">
        <v>117</v>
      </c>
      <c r="J4" s="98"/>
      <c r="K4" s="4" t="s">
        <v>21</v>
      </c>
      <c r="L4" s="4" t="s">
        <v>119</v>
      </c>
      <c r="M4" s="4" t="s">
        <v>120</v>
      </c>
      <c r="N4" s="133" t="s">
        <v>117</v>
      </c>
      <c r="O4" s="134"/>
      <c r="P4" s="8" t="s">
        <v>22</v>
      </c>
      <c r="Q4" s="8" t="s">
        <v>119</v>
      </c>
      <c r="R4" s="8" t="s">
        <v>120</v>
      </c>
      <c r="S4" s="97" t="s">
        <v>117</v>
      </c>
      <c r="T4" s="98"/>
      <c r="U4" s="4" t="s">
        <v>23</v>
      </c>
      <c r="V4" s="4" t="s">
        <v>119</v>
      </c>
      <c r="W4" s="4" t="s">
        <v>120</v>
      </c>
      <c r="X4" s="133" t="s">
        <v>117</v>
      </c>
      <c r="Y4" s="134"/>
      <c r="Z4" s="8" t="s">
        <v>24</v>
      </c>
      <c r="AA4" s="8" t="s">
        <v>119</v>
      </c>
      <c r="AB4" s="8" t="s">
        <v>120</v>
      </c>
      <c r="AC4" s="97" t="s">
        <v>117</v>
      </c>
      <c r="AD4" s="98"/>
      <c r="AE4" s="4" t="s">
        <v>25</v>
      </c>
      <c r="AF4" s="4" t="s">
        <v>119</v>
      </c>
      <c r="AG4" s="4" t="s">
        <v>120</v>
      </c>
      <c r="AH4" s="133" t="s">
        <v>117</v>
      </c>
      <c r="AI4" s="134"/>
      <c r="AJ4" s="8" t="s">
        <v>26</v>
      </c>
      <c r="AK4" s="8" t="s">
        <v>119</v>
      </c>
      <c r="AL4" s="8" t="s">
        <v>120</v>
      </c>
      <c r="AM4" s="97" t="s">
        <v>117</v>
      </c>
      <c r="AN4" s="98"/>
      <c r="AO4" s="4" t="s">
        <v>27</v>
      </c>
      <c r="AP4" s="4" t="s">
        <v>119</v>
      </c>
      <c r="AQ4" s="4" t="s">
        <v>120</v>
      </c>
      <c r="AR4" s="133" t="s">
        <v>117</v>
      </c>
      <c r="AS4" s="134"/>
      <c r="AT4" s="8" t="s">
        <v>28</v>
      </c>
      <c r="AU4" s="8" t="s">
        <v>119</v>
      </c>
      <c r="AV4" s="8" t="s">
        <v>120</v>
      </c>
      <c r="AW4" s="97" t="s">
        <v>117</v>
      </c>
      <c r="AX4" s="98"/>
      <c r="AY4" s="4" t="s">
        <v>29</v>
      </c>
      <c r="AZ4" s="4" t="s">
        <v>119</v>
      </c>
      <c r="BA4" s="4" t="s">
        <v>120</v>
      </c>
      <c r="BB4" s="133" t="s">
        <v>117</v>
      </c>
      <c r="BC4" s="134"/>
      <c r="BD4" s="8" t="s">
        <v>30</v>
      </c>
      <c r="BE4" s="8" t="s">
        <v>119</v>
      </c>
      <c r="BF4" s="8" t="s">
        <v>120</v>
      </c>
      <c r="BG4" s="97" t="s">
        <v>117</v>
      </c>
      <c r="BH4" s="98"/>
      <c r="BI4" s="4" t="s">
        <v>31</v>
      </c>
      <c r="BJ4" s="4" t="s">
        <v>119</v>
      </c>
      <c r="BK4" s="4" t="s">
        <v>120</v>
      </c>
      <c r="BL4" s="133" t="s">
        <v>117</v>
      </c>
      <c r="BM4" s="134"/>
      <c r="BN4" s="8" t="s">
        <v>32</v>
      </c>
      <c r="BO4" s="8" t="s">
        <v>119</v>
      </c>
      <c r="BP4" s="8" t="s">
        <v>120</v>
      </c>
    </row>
    <row r="5" spans="1:68" s="2" customFormat="1" ht="64.5" customHeight="1" x14ac:dyDescent="0.35">
      <c r="A5" s="73" t="s">
        <v>49</v>
      </c>
      <c r="B5" s="76" t="s">
        <v>84</v>
      </c>
      <c r="C5" s="142" t="s">
        <v>124</v>
      </c>
      <c r="D5" s="76" t="s">
        <v>110</v>
      </c>
      <c r="E5" s="76" t="s">
        <v>50</v>
      </c>
      <c r="F5" s="76" t="s">
        <v>13</v>
      </c>
      <c r="G5" s="76" t="s">
        <v>61</v>
      </c>
      <c r="H5" s="143" t="s">
        <v>56</v>
      </c>
      <c r="I5" s="12" t="s">
        <v>125</v>
      </c>
      <c r="J5" s="11">
        <v>1</v>
      </c>
      <c r="K5" s="151">
        <f>(J5/J6)*100</f>
        <v>3.3333333333333335</v>
      </c>
      <c r="L5" s="144" t="s">
        <v>83</v>
      </c>
      <c r="M5" s="145" t="s">
        <v>126</v>
      </c>
      <c r="N5" s="12" t="s">
        <v>125</v>
      </c>
      <c r="O5" s="11">
        <v>4</v>
      </c>
      <c r="P5" s="151">
        <f>(O5/O6)*100</f>
        <v>11.428571428571429</v>
      </c>
      <c r="Q5" s="144"/>
      <c r="R5" s="145"/>
      <c r="S5" s="12" t="s">
        <v>125</v>
      </c>
      <c r="T5" s="11">
        <v>4</v>
      </c>
      <c r="U5" s="151">
        <f>(T5/T6)*100</f>
        <v>13.333333333333334</v>
      </c>
      <c r="V5" s="144"/>
      <c r="W5" s="145"/>
      <c r="X5" s="12" t="s">
        <v>125</v>
      </c>
      <c r="Y5" s="11">
        <v>4</v>
      </c>
      <c r="Z5" s="151">
        <f>(Y5/Y6)*100</f>
        <v>23.52941176470588</v>
      </c>
      <c r="AA5" s="144"/>
      <c r="AB5" s="145"/>
      <c r="AC5" s="12" t="s">
        <v>125</v>
      </c>
      <c r="AD5" s="11">
        <v>4</v>
      </c>
      <c r="AE5" s="151">
        <f>(AD5/AD6)*100</f>
        <v>13.333333333333334</v>
      </c>
      <c r="AF5" s="144"/>
      <c r="AG5" s="145"/>
      <c r="AH5" s="12" t="s">
        <v>125</v>
      </c>
      <c r="AI5" s="11">
        <v>4</v>
      </c>
      <c r="AJ5" s="151">
        <f>(AI5/AI6)*100</f>
        <v>13.333333333333334</v>
      </c>
      <c r="AK5" s="144"/>
      <c r="AL5" s="145"/>
      <c r="AM5" s="12" t="s">
        <v>125</v>
      </c>
      <c r="AN5" s="11">
        <v>8</v>
      </c>
      <c r="AO5" s="151">
        <f>(AN5/AN6)*100</f>
        <v>36.363636363636367</v>
      </c>
      <c r="AP5" s="144"/>
      <c r="AQ5" s="145"/>
      <c r="AR5" s="12" t="s">
        <v>125</v>
      </c>
      <c r="AS5" s="11">
        <v>4</v>
      </c>
      <c r="AT5" s="151">
        <f>(AS5/AS6)*100</f>
        <v>11.428571428571429</v>
      </c>
      <c r="AU5" s="144"/>
      <c r="AV5" s="145"/>
      <c r="AW5" s="12" t="s">
        <v>125</v>
      </c>
      <c r="AX5" s="11">
        <v>4</v>
      </c>
      <c r="AY5" s="151">
        <f>(AX5/AX6)*100</f>
        <v>13.333333333333334</v>
      </c>
      <c r="AZ5" s="144"/>
      <c r="BA5" s="145"/>
      <c r="BB5" s="12" t="s">
        <v>125</v>
      </c>
      <c r="BC5" s="11">
        <v>0</v>
      </c>
      <c r="BD5" s="151">
        <f>(BC5/BC6)*100</f>
        <v>0</v>
      </c>
      <c r="BE5" s="144"/>
      <c r="BF5" s="145"/>
      <c r="BG5" s="12" t="s">
        <v>125</v>
      </c>
      <c r="BH5" s="10">
        <v>8</v>
      </c>
      <c r="BI5" s="151">
        <f>(BH5/BH6)*100</f>
        <v>20</v>
      </c>
      <c r="BJ5" s="144"/>
      <c r="BK5" s="145"/>
      <c r="BL5" s="12" t="s">
        <v>125</v>
      </c>
      <c r="BM5" s="11">
        <v>5</v>
      </c>
      <c r="BN5" s="151">
        <f>(BM5/BM6)*100</f>
        <v>12.5</v>
      </c>
      <c r="BO5" s="144" t="s">
        <v>121</v>
      </c>
      <c r="BP5" s="145" t="s">
        <v>127</v>
      </c>
    </row>
    <row r="6" spans="1:68" ht="64.5" customHeight="1" x14ac:dyDescent="0.35">
      <c r="A6" s="73"/>
      <c r="B6" s="76"/>
      <c r="C6" s="142"/>
      <c r="D6" s="76"/>
      <c r="E6" s="76"/>
      <c r="F6" s="76"/>
      <c r="G6" s="76"/>
      <c r="H6" s="143"/>
      <c r="I6" s="10" t="s">
        <v>128</v>
      </c>
      <c r="J6" s="11">
        <v>30</v>
      </c>
      <c r="K6" s="151"/>
      <c r="L6" s="144"/>
      <c r="M6" s="145"/>
      <c r="N6" s="10" t="s">
        <v>128</v>
      </c>
      <c r="O6" s="11">
        <v>35</v>
      </c>
      <c r="P6" s="151"/>
      <c r="Q6" s="144"/>
      <c r="R6" s="145"/>
      <c r="S6" s="10" t="s">
        <v>128</v>
      </c>
      <c r="T6" s="11">
        <v>30</v>
      </c>
      <c r="U6" s="151"/>
      <c r="V6" s="144"/>
      <c r="W6" s="145"/>
      <c r="X6" s="10" t="s">
        <v>128</v>
      </c>
      <c r="Y6" s="11">
        <v>17</v>
      </c>
      <c r="Z6" s="151"/>
      <c r="AA6" s="144"/>
      <c r="AB6" s="145"/>
      <c r="AC6" s="10" t="s">
        <v>128</v>
      </c>
      <c r="AD6" s="11">
        <v>30</v>
      </c>
      <c r="AE6" s="151"/>
      <c r="AF6" s="144"/>
      <c r="AG6" s="145"/>
      <c r="AH6" s="10" t="s">
        <v>128</v>
      </c>
      <c r="AI6" s="11">
        <v>30</v>
      </c>
      <c r="AJ6" s="151"/>
      <c r="AK6" s="144"/>
      <c r="AL6" s="145"/>
      <c r="AM6" s="10" t="s">
        <v>128</v>
      </c>
      <c r="AN6" s="11">
        <v>22</v>
      </c>
      <c r="AO6" s="151"/>
      <c r="AP6" s="144"/>
      <c r="AQ6" s="145"/>
      <c r="AR6" s="10" t="s">
        <v>128</v>
      </c>
      <c r="AS6" s="11">
        <v>35</v>
      </c>
      <c r="AT6" s="151"/>
      <c r="AU6" s="144"/>
      <c r="AV6" s="145"/>
      <c r="AW6" s="10" t="s">
        <v>128</v>
      </c>
      <c r="AX6" s="11">
        <v>30</v>
      </c>
      <c r="AY6" s="151"/>
      <c r="AZ6" s="144"/>
      <c r="BA6" s="145"/>
      <c r="BB6" s="10" t="s">
        <v>128</v>
      </c>
      <c r="BC6" s="11">
        <v>28</v>
      </c>
      <c r="BD6" s="151"/>
      <c r="BE6" s="144"/>
      <c r="BF6" s="145"/>
      <c r="BG6" s="10" t="s">
        <v>128</v>
      </c>
      <c r="BH6" s="10">
        <v>40</v>
      </c>
      <c r="BI6" s="151"/>
      <c r="BJ6" s="144"/>
      <c r="BK6" s="145"/>
      <c r="BL6" s="10" t="s">
        <v>128</v>
      </c>
      <c r="BM6" s="11">
        <v>40</v>
      </c>
      <c r="BN6" s="151"/>
      <c r="BO6" s="144"/>
      <c r="BP6" s="145"/>
    </row>
    <row r="7" spans="1:68" x14ac:dyDescent="0.35">
      <c r="I7" s="20"/>
      <c r="J7" s="20"/>
      <c r="K7" s="21"/>
      <c r="L7" s="2"/>
      <c r="M7" s="2"/>
      <c r="N7" s="2"/>
      <c r="O7" s="2"/>
      <c r="P7" s="21"/>
      <c r="Q7" s="21"/>
      <c r="R7" s="21"/>
      <c r="S7" s="2"/>
      <c r="T7" s="2"/>
      <c r="U7" s="21"/>
      <c r="V7" s="21"/>
      <c r="W7" s="21"/>
      <c r="X7" s="2"/>
    </row>
    <row r="8" spans="1:68" x14ac:dyDescent="0.35">
      <c r="I8" s="20"/>
      <c r="J8" s="20"/>
      <c r="K8" s="21"/>
      <c r="L8" s="2"/>
      <c r="M8" s="2"/>
      <c r="N8" s="2"/>
      <c r="O8" s="2"/>
      <c r="P8" s="21"/>
      <c r="Q8" s="21"/>
      <c r="R8" s="21"/>
      <c r="S8" s="2"/>
      <c r="T8" s="2"/>
      <c r="U8" s="21"/>
      <c r="V8" s="21"/>
      <c r="W8" s="21"/>
      <c r="X8" s="2"/>
    </row>
    <row r="9" spans="1:68" x14ac:dyDescent="0.35">
      <c r="I9" s="20"/>
      <c r="J9" s="20"/>
      <c r="K9" s="21"/>
      <c r="L9" s="2"/>
      <c r="M9" s="2"/>
      <c r="N9" s="2"/>
      <c r="O9" s="2"/>
      <c r="P9" s="21"/>
      <c r="Q9" s="21"/>
      <c r="R9" s="21"/>
      <c r="S9" s="2"/>
      <c r="T9" s="2"/>
      <c r="U9" s="21"/>
      <c r="V9" s="21"/>
      <c r="W9" s="21"/>
      <c r="X9" s="2"/>
    </row>
    <row r="10" spans="1:68" x14ac:dyDescent="0.35">
      <c r="I10" s="20"/>
      <c r="J10" s="20"/>
      <c r="K10" s="21"/>
      <c r="L10" s="2"/>
      <c r="M10" s="2"/>
      <c r="N10" s="2"/>
      <c r="O10" s="2"/>
      <c r="P10" s="21"/>
      <c r="Q10" s="21"/>
      <c r="R10" s="21"/>
      <c r="S10" s="2"/>
      <c r="T10" s="2"/>
      <c r="U10" s="21"/>
      <c r="V10" s="21"/>
      <c r="W10" s="21"/>
      <c r="X10" s="2"/>
    </row>
    <row r="11" spans="1:68" x14ac:dyDescent="0.35">
      <c r="I11" s="20"/>
      <c r="J11" s="20"/>
      <c r="K11" s="21"/>
      <c r="L11" s="2"/>
      <c r="M11" s="2"/>
      <c r="N11" s="2"/>
      <c r="O11" s="2"/>
      <c r="P11" s="21"/>
      <c r="Q11" s="21"/>
      <c r="R11" s="21"/>
      <c r="S11" s="2"/>
      <c r="T11" s="2"/>
      <c r="U11" s="21"/>
      <c r="V11" s="21"/>
      <c r="W11" s="21"/>
      <c r="X11" s="2"/>
    </row>
    <row r="12" spans="1:68" x14ac:dyDescent="0.35">
      <c r="I12" s="20"/>
      <c r="J12" s="20"/>
      <c r="K12" s="21"/>
      <c r="L12" s="2"/>
      <c r="M12" s="22"/>
      <c r="N12" s="2"/>
      <c r="O12" s="2"/>
      <c r="P12" s="21"/>
      <c r="Q12" s="21"/>
      <c r="R12" s="21"/>
      <c r="S12" s="2"/>
      <c r="T12" s="2"/>
      <c r="U12" s="21"/>
      <c r="V12" s="21"/>
      <c r="W12" s="21"/>
      <c r="X12" s="2"/>
    </row>
    <row r="13" spans="1:68" x14ac:dyDescent="0.35">
      <c r="I13" s="20"/>
      <c r="J13" s="20"/>
      <c r="K13" s="21"/>
      <c r="L13" s="2"/>
      <c r="M13" s="2"/>
      <c r="N13" s="2"/>
      <c r="O13" s="2"/>
      <c r="P13" s="21"/>
      <c r="Q13" s="21"/>
      <c r="R13" s="21"/>
      <c r="S13" s="2"/>
      <c r="T13" s="2"/>
      <c r="U13" s="21"/>
      <c r="V13" s="21"/>
      <c r="W13" s="21"/>
      <c r="X13" s="2"/>
    </row>
    <row r="14" spans="1:68" x14ac:dyDescent="0.35">
      <c r="I14" s="20"/>
      <c r="J14" s="20"/>
      <c r="K14" s="21"/>
      <c r="L14" s="2"/>
      <c r="M14" s="2"/>
      <c r="N14" s="2"/>
      <c r="O14" s="2"/>
      <c r="P14" s="21"/>
      <c r="Q14" s="21"/>
      <c r="R14" s="21"/>
      <c r="S14" s="2"/>
      <c r="T14" s="2"/>
      <c r="U14" s="21"/>
      <c r="V14" s="21"/>
      <c r="W14" s="21"/>
      <c r="X14" s="2"/>
    </row>
    <row r="15" spans="1:68" x14ac:dyDescent="0.35">
      <c r="I15" s="20"/>
      <c r="J15" s="20"/>
      <c r="K15" s="21"/>
      <c r="L15" s="2"/>
      <c r="M15" s="2"/>
      <c r="N15" s="2"/>
      <c r="O15" s="2"/>
      <c r="P15" s="21"/>
      <c r="Q15" s="21"/>
      <c r="R15" s="21"/>
      <c r="S15" s="2"/>
      <c r="T15" s="2"/>
      <c r="U15" s="21"/>
      <c r="V15" s="21"/>
      <c r="W15" s="21"/>
      <c r="X15" s="2"/>
    </row>
    <row r="16" spans="1:68" x14ac:dyDescent="0.35">
      <c r="I16" s="20"/>
      <c r="J16" s="20"/>
      <c r="K16" s="21"/>
      <c r="L16" s="2"/>
      <c r="M16" s="2"/>
      <c r="N16" s="2"/>
      <c r="O16" s="2"/>
      <c r="P16" s="21"/>
      <c r="Q16" s="21"/>
      <c r="R16" s="21"/>
      <c r="S16" s="2"/>
      <c r="T16" s="2"/>
      <c r="U16" s="21"/>
      <c r="V16" s="21"/>
      <c r="W16" s="21"/>
      <c r="X16" s="2"/>
    </row>
    <row r="17" spans="1:68" x14ac:dyDescent="0.35">
      <c r="I17" s="20"/>
      <c r="J17" s="20"/>
      <c r="K17" s="21"/>
      <c r="L17" s="2"/>
      <c r="M17" s="2"/>
      <c r="N17" s="2"/>
      <c r="O17" s="2"/>
      <c r="P17" s="21"/>
      <c r="Q17" s="21"/>
      <c r="R17" s="21"/>
      <c r="S17" s="2"/>
      <c r="T17" s="2"/>
      <c r="U17" s="21"/>
      <c r="V17" s="21"/>
      <c r="W17" s="21"/>
      <c r="X17" s="2"/>
    </row>
    <row r="18" spans="1:68" x14ac:dyDescent="0.35">
      <c r="I18" s="20"/>
      <c r="J18" s="20"/>
      <c r="K18" s="21"/>
      <c r="L18" s="2"/>
      <c r="M18" s="2"/>
      <c r="N18" s="2"/>
      <c r="O18" s="2"/>
      <c r="P18" s="21"/>
      <c r="Q18" s="21"/>
      <c r="R18" s="21"/>
      <c r="S18" s="2"/>
      <c r="T18" s="2"/>
      <c r="U18" s="21"/>
      <c r="V18" s="21"/>
      <c r="W18" s="21"/>
      <c r="X18" s="2"/>
    </row>
    <row r="19" spans="1:68" x14ac:dyDescent="0.35">
      <c r="I19" s="20"/>
      <c r="J19" s="20"/>
      <c r="K19" s="21"/>
      <c r="L19" s="2"/>
      <c r="M19" s="2"/>
      <c r="N19" s="2"/>
      <c r="O19" s="2"/>
      <c r="P19" s="21"/>
      <c r="Q19" s="21"/>
      <c r="R19" s="21"/>
      <c r="S19" s="2"/>
      <c r="T19" s="2"/>
      <c r="U19" s="21"/>
      <c r="V19" s="21"/>
      <c r="W19" s="21"/>
      <c r="X19" s="2"/>
    </row>
    <row r="20" spans="1:68" x14ac:dyDescent="0.35">
      <c r="I20" s="20"/>
      <c r="J20" s="20"/>
      <c r="K20" s="21"/>
      <c r="L20" s="2"/>
      <c r="M20" s="2"/>
      <c r="N20" s="2"/>
      <c r="O20" s="2"/>
      <c r="P20" s="21"/>
      <c r="Q20" s="21"/>
      <c r="R20" s="21"/>
      <c r="S20" s="2"/>
      <c r="T20" s="2"/>
      <c r="U20" s="21"/>
      <c r="V20" s="21"/>
      <c r="W20" s="21"/>
      <c r="X20" s="2"/>
    </row>
    <row r="21" spans="1:68" x14ac:dyDescent="0.35">
      <c r="I21" s="20"/>
      <c r="J21" s="20"/>
      <c r="K21" s="21"/>
      <c r="L21" s="2"/>
      <c r="M21" s="2"/>
      <c r="N21" s="2"/>
      <c r="O21" s="2"/>
      <c r="P21" s="21"/>
      <c r="Q21" s="21"/>
      <c r="R21" s="21"/>
      <c r="S21" s="2"/>
      <c r="T21" s="2"/>
      <c r="U21" s="21"/>
      <c r="V21" s="21"/>
      <c r="W21" s="21"/>
      <c r="X21" s="2"/>
    </row>
    <row r="22" spans="1:68" x14ac:dyDescent="0.35">
      <c r="I22" s="20"/>
      <c r="J22" s="20"/>
      <c r="K22" s="21"/>
      <c r="L22" s="2"/>
      <c r="M22" s="2"/>
      <c r="N22" s="2"/>
      <c r="O22" s="2"/>
      <c r="P22" s="21"/>
      <c r="Q22" s="21"/>
      <c r="R22" s="21"/>
      <c r="S22" s="2"/>
      <c r="T22" s="2"/>
      <c r="U22" s="21"/>
      <c r="V22" s="21"/>
      <c r="W22" s="21"/>
      <c r="X22" s="2"/>
    </row>
    <row r="23" spans="1:68" x14ac:dyDescent="0.35">
      <c r="I23" s="20"/>
      <c r="J23" s="20"/>
      <c r="K23" s="21"/>
      <c r="L23" s="2"/>
      <c r="M23" s="2"/>
      <c r="N23" s="2"/>
      <c r="O23" s="2"/>
      <c r="P23" s="21"/>
      <c r="Q23" s="21"/>
      <c r="R23" s="21"/>
      <c r="S23" s="2"/>
      <c r="T23" s="2"/>
      <c r="U23" s="21"/>
      <c r="V23" s="21"/>
      <c r="W23" s="21"/>
      <c r="X23" s="2"/>
    </row>
    <row r="24" spans="1:68" x14ac:dyDescent="0.35">
      <c r="I24" s="20"/>
      <c r="J24" s="20"/>
      <c r="K24" s="21"/>
      <c r="L24" s="2"/>
      <c r="M24" s="2"/>
      <c r="N24" s="2"/>
      <c r="O24" s="2"/>
      <c r="P24" s="21"/>
      <c r="Q24" s="21"/>
      <c r="R24" s="21"/>
      <c r="S24" s="2"/>
      <c r="T24" s="2"/>
      <c r="U24" s="21"/>
      <c r="V24" s="21"/>
      <c r="W24" s="21"/>
      <c r="X24" s="2"/>
    </row>
    <row r="25" spans="1:68" x14ac:dyDescent="0.35">
      <c r="I25" s="20"/>
      <c r="J25" s="20"/>
      <c r="K25" s="21"/>
      <c r="L25" s="2"/>
      <c r="M25" s="2"/>
      <c r="N25" s="2"/>
      <c r="O25" s="2"/>
      <c r="P25" s="21"/>
      <c r="Q25" s="21"/>
      <c r="R25" s="21"/>
      <c r="S25" s="2"/>
      <c r="T25" s="2"/>
      <c r="U25" s="21"/>
      <c r="V25" s="21"/>
      <c r="W25" s="21"/>
      <c r="X25" s="2"/>
    </row>
    <row r="26" spans="1:68" x14ac:dyDescent="0.35">
      <c r="I26" s="20"/>
      <c r="J26" s="20"/>
      <c r="K26" s="21"/>
      <c r="L26" s="2"/>
      <c r="M26" s="2"/>
      <c r="N26" s="2"/>
      <c r="O26" s="2"/>
      <c r="P26" s="21"/>
      <c r="Q26" s="21"/>
      <c r="R26" s="21"/>
      <c r="S26" s="2"/>
      <c r="T26" s="2"/>
      <c r="U26" s="21"/>
      <c r="V26" s="21"/>
      <c r="W26" s="21"/>
      <c r="X26" s="2"/>
    </row>
    <row r="27" spans="1:68" x14ac:dyDescent="0.35">
      <c r="I27" s="20"/>
      <c r="J27" s="20"/>
      <c r="K27" s="21"/>
      <c r="L27" s="2"/>
      <c r="M27" s="2"/>
      <c r="N27" s="2"/>
      <c r="O27" s="2"/>
      <c r="P27" s="21"/>
      <c r="Q27" s="21"/>
      <c r="R27" s="21"/>
      <c r="S27" s="2"/>
      <c r="T27" s="2"/>
      <c r="U27" s="21"/>
      <c r="V27" s="21"/>
      <c r="W27" s="21"/>
      <c r="X27" s="2"/>
    </row>
    <row r="28" spans="1:68" x14ac:dyDescent="0.35">
      <c r="I28" s="20"/>
      <c r="J28" s="20"/>
      <c r="K28" s="21"/>
      <c r="L28" s="2"/>
      <c r="M28" s="2"/>
      <c r="N28" s="2"/>
      <c r="O28" s="2"/>
      <c r="P28" s="21"/>
      <c r="Q28" s="21"/>
      <c r="R28" s="21"/>
      <c r="S28" s="2"/>
      <c r="T28" s="2"/>
      <c r="U28" s="21"/>
      <c r="V28" s="21"/>
      <c r="W28" s="21"/>
      <c r="X28" s="2"/>
    </row>
    <row r="30" spans="1:68" ht="14.5" customHeight="1" x14ac:dyDescent="0.35">
      <c r="A30" s="94" t="s">
        <v>309</v>
      </c>
      <c r="B30" s="94"/>
      <c r="C30" s="94"/>
      <c r="D30" s="94"/>
      <c r="E30" s="94"/>
      <c r="F30" s="94"/>
      <c r="G30" s="94"/>
      <c r="H30" s="94"/>
      <c r="I30" s="123" t="s">
        <v>33</v>
      </c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24"/>
      <c r="BK30" s="124"/>
      <c r="BL30" s="124"/>
      <c r="BM30" s="124"/>
      <c r="BN30" s="124"/>
      <c r="BO30" s="124"/>
      <c r="BP30" s="14"/>
    </row>
    <row r="31" spans="1:68" ht="14.5" customHeight="1" x14ac:dyDescent="0.35">
      <c r="A31" s="94"/>
      <c r="B31" s="94"/>
      <c r="C31" s="94"/>
      <c r="D31" s="94"/>
      <c r="E31" s="94"/>
      <c r="F31" s="94"/>
      <c r="G31" s="94"/>
      <c r="H31" s="94"/>
      <c r="I31" s="125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6"/>
    </row>
    <row r="32" spans="1:68" ht="21" x14ac:dyDescent="0.35">
      <c r="A32" s="4" t="s">
        <v>0</v>
      </c>
      <c r="B32" s="4" t="s">
        <v>1</v>
      </c>
      <c r="C32" s="4" t="s">
        <v>2</v>
      </c>
      <c r="D32" s="4" t="s">
        <v>3</v>
      </c>
      <c r="E32" s="4" t="s">
        <v>4</v>
      </c>
      <c r="F32" s="4" t="s">
        <v>5</v>
      </c>
      <c r="G32" s="4" t="s">
        <v>6</v>
      </c>
      <c r="H32" s="4" t="s">
        <v>20</v>
      </c>
      <c r="I32" s="97" t="s">
        <v>117</v>
      </c>
      <c r="J32" s="98"/>
      <c r="K32" s="4" t="s">
        <v>21</v>
      </c>
      <c r="L32" s="4" t="s">
        <v>119</v>
      </c>
      <c r="M32" s="4" t="s">
        <v>120</v>
      </c>
      <c r="N32" s="133" t="s">
        <v>117</v>
      </c>
      <c r="O32" s="134"/>
      <c r="P32" s="8" t="s">
        <v>22</v>
      </c>
      <c r="Q32" s="8" t="s">
        <v>119</v>
      </c>
      <c r="R32" s="8" t="s">
        <v>120</v>
      </c>
      <c r="S32" s="97" t="s">
        <v>117</v>
      </c>
      <c r="T32" s="98"/>
      <c r="U32" s="4" t="s">
        <v>23</v>
      </c>
      <c r="V32" s="4" t="s">
        <v>119</v>
      </c>
      <c r="W32" s="4" t="s">
        <v>120</v>
      </c>
      <c r="X32" s="133" t="s">
        <v>117</v>
      </c>
      <c r="Y32" s="134"/>
      <c r="Z32" s="8" t="s">
        <v>24</v>
      </c>
      <c r="AA32" s="8" t="s">
        <v>119</v>
      </c>
      <c r="AB32" s="8" t="s">
        <v>120</v>
      </c>
      <c r="AC32" s="97" t="s">
        <v>117</v>
      </c>
      <c r="AD32" s="98"/>
      <c r="AE32" s="4" t="s">
        <v>25</v>
      </c>
      <c r="AF32" s="4" t="s">
        <v>119</v>
      </c>
      <c r="AG32" s="4" t="s">
        <v>120</v>
      </c>
      <c r="AH32" s="133" t="s">
        <v>117</v>
      </c>
      <c r="AI32" s="134"/>
      <c r="AJ32" s="8" t="s">
        <v>26</v>
      </c>
      <c r="AK32" s="8" t="s">
        <v>119</v>
      </c>
      <c r="AL32" s="8" t="s">
        <v>120</v>
      </c>
      <c r="AM32" s="97" t="s">
        <v>117</v>
      </c>
      <c r="AN32" s="98"/>
      <c r="AO32" s="4" t="s">
        <v>27</v>
      </c>
      <c r="AP32" s="4" t="s">
        <v>119</v>
      </c>
      <c r="AQ32" s="4" t="s">
        <v>120</v>
      </c>
      <c r="AR32" s="133" t="s">
        <v>117</v>
      </c>
      <c r="AS32" s="134"/>
      <c r="AT32" s="8" t="s">
        <v>28</v>
      </c>
      <c r="AU32" s="8" t="s">
        <v>119</v>
      </c>
      <c r="AV32" s="8" t="s">
        <v>120</v>
      </c>
      <c r="AW32" s="97" t="s">
        <v>117</v>
      </c>
      <c r="AX32" s="98"/>
      <c r="AY32" s="4" t="s">
        <v>29</v>
      </c>
      <c r="AZ32" s="4" t="s">
        <v>119</v>
      </c>
      <c r="BA32" s="4" t="s">
        <v>120</v>
      </c>
      <c r="BB32" s="133" t="s">
        <v>117</v>
      </c>
      <c r="BC32" s="134"/>
      <c r="BD32" s="8" t="s">
        <v>30</v>
      </c>
      <c r="BE32" s="8" t="s">
        <v>119</v>
      </c>
      <c r="BF32" s="8" t="s">
        <v>120</v>
      </c>
      <c r="BG32" s="97" t="s">
        <v>117</v>
      </c>
      <c r="BH32" s="98"/>
      <c r="BI32" s="4" t="s">
        <v>31</v>
      </c>
      <c r="BJ32" s="4" t="s">
        <v>119</v>
      </c>
      <c r="BK32" s="4" t="s">
        <v>120</v>
      </c>
      <c r="BL32" s="133" t="s">
        <v>117</v>
      </c>
      <c r="BM32" s="134"/>
      <c r="BN32" s="8" t="s">
        <v>32</v>
      </c>
      <c r="BO32" s="8" t="s">
        <v>119</v>
      </c>
      <c r="BP32" s="8" t="s">
        <v>120</v>
      </c>
    </row>
    <row r="33" spans="1:68" ht="50.25" customHeight="1" x14ac:dyDescent="0.35">
      <c r="A33" s="100" t="s">
        <v>95</v>
      </c>
      <c r="B33" s="82" t="s">
        <v>118</v>
      </c>
      <c r="C33" s="136">
        <v>0</v>
      </c>
      <c r="D33" s="82" t="s">
        <v>114</v>
      </c>
      <c r="E33" s="82" t="s">
        <v>96</v>
      </c>
      <c r="F33" s="82" t="s">
        <v>7</v>
      </c>
      <c r="G33" s="82" t="s">
        <v>61</v>
      </c>
      <c r="H33" s="139" t="s">
        <v>56</v>
      </c>
      <c r="I33" s="23"/>
      <c r="J33" s="24"/>
      <c r="K33" s="149"/>
      <c r="L33" s="147"/>
      <c r="M33" s="150"/>
      <c r="N33" s="23"/>
      <c r="O33" s="24"/>
      <c r="P33" s="149"/>
      <c r="Q33" s="147"/>
      <c r="R33" s="148"/>
      <c r="S33" s="23"/>
      <c r="T33" s="24"/>
      <c r="U33" s="149"/>
      <c r="V33" s="147"/>
      <c r="W33" s="148"/>
      <c r="X33" s="23"/>
      <c r="Y33" s="24"/>
      <c r="Z33" s="149"/>
      <c r="AA33" s="147"/>
      <c r="AB33" s="148"/>
      <c r="AC33" s="23"/>
      <c r="AD33" s="24"/>
      <c r="AE33" s="149"/>
      <c r="AF33" s="147"/>
      <c r="AG33" s="148"/>
      <c r="AH33" s="23"/>
      <c r="AI33" s="24"/>
      <c r="AJ33" s="149"/>
      <c r="AK33" s="147"/>
      <c r="AL33" s="148"/>
      <c r="AM33" s="23"/>
      <c r="AN33" s="24"/>
      <c r="AO33" s="149"/>
      <c r="AP33" s="147"/>
      <c r="AQ33" s="148"/>
      <c r="AR33" s="23"/>
      <c r="AS33" s="24"/>
      <c r="AT33" s="149"/>
      <c r="AU33" s="147"/>
      <c r="AV33" s="148"/>
      <c r="AW33" s="23"/>
      <c r="AX33" s="24"/>
      <c r="AY33" s="149"/>
      <c r="AZ33" s="147"/>
      <c r="BA33" s="148"/>
      <c r="BB33" s="23"/>
      <c r="BC33" s="24"/>
      <c r="BD33" s="149"/>
      <c r="BE33" s="147"/>
      <c r="BF33" s="148"/>
      <c r="BG33" s="23"/>
      <c r="BH33" s="25"/>
      <c r="BI33" s="149"/>
      <c r="BJ33" s="147"/>
      <c r="BK33" s="148"/>
      <c r="BL33" s="12" t="s">
        <v>129</v>
      </c>
      <c r="BM33" s="11">
        <v>2</v>
      </c>
      <c r="BN33" s="146">
        <f>(BM33/BM34)*100%</f>
        <v>0.04</v>
      </c>
      <c r="BO33" s="144" t="s">
        <v>121</v>
      </c>
      <c r="BP33" s="145" t="s">
        <v>130</v>
      </c>
    </row>
    <row r="34" spans="1:68" ht="50.25" customHeight="1" x14ac:dyDescent="0.35">
      <c r="A34" s="102"/>
      <c r="B34" s="83"/>
      <c r="C34" s="138"/>
      <c r="D34" s="83"/>
      <c r="E34" s="83"/>
      <c r="F34" s="83"/>
      <c r="G34" s="83"/>
      <c r="H34" s="141"/>
      <c r="I34" s="25"/>
      <c r="J34" s="24"/>
      <c r="K34" s="149"/>
      <c r="L34" s="147"/>
      <c r="M34" s="150"/>
      <c r="N34" s="25"/>
      <c r="O34" s="24"/>
      <c r="P34" s="149"/>
      <c r="Q34" s="147"/>
      <c r="R34" s="148"/>
      <c r="S34" s="25"/>
      <c r="T34" s="24"/>
      <c r="U34" s="149"/>
      <c r="V34" s="147"/>
      <c r="W34" s="148"/>
      <c r="X34" s="25"/>
      <c r="Y34" s="24"/>
      <c r="Z34" s="149"/>
      <c r="AA34" s="147"/>
      <c r="AB34" s="148"/>
      <c r="AC34" s="25"/>
      <c r="AD34" s="24"/>
      <c r="AE34" s="149"/>
      <c r="AF34" s="147"/>
      <c r="AG34" s="148"/>
      <c r="AH34" s="25"/>
      <c r="AI34" s="24"/>
      <c r="AJ34" s="149"/>
      <c r="AK34" s="147"/>
      <c r="AL34" s="148"/>
      <c r="AM34" s="25"/>
      <c r="AN34" s="24"/>
      <c r="AO34" s="149"/>
      <c r="AP34" s="147"/>
      <c r="AQ34" s="148"/>
      <c r="AR34" s="25"/>
      <c r="AS34" s="24"/>
      <c r="AT34" s="149"/>
      <c r="AU34" s="147"/>
      <c r="AV34" s="148"/>
      <c r="AW34" s="25"/>
      <c r="AX34" s="24"/>
      <c r="AY34" s="149"/>
      <c r="AZ34" s="147"/>
      <c r="BA34" s="148"/>
      <c r="BB34" s="25"/>
      <c r="BC34" s="24"/>
      <c r="BD34" s="149"/>
      <c r="BE34" s="147"/>
      <c r="BF34" s="148"/>
      <c r="BG34" s="25"/>
      <c r="BH34" s="25"/>
      <c r="BI34" s="149"/>
      <c r="BJ34" s="147"/>
      <c r="BK34" s="148"/>
      <c r="BL34" s="12" t="s">
        <v>131</v>
      </c>
      <c r="BM34" s="11">
        <v>50</v>
      </c>
      <c r="BN34" s="146"/>
      <c r="BO34" s="144"/>
      <c r="BP34" s="145"/>
    </row>
    <row r="59" spans="1:68" ht="14.5" customHeight="1" x14ac:dyDescent="0.35">
      <c r="A59" s="94" t="s">
        <v>309</v>
      </c>
      <c r="B59" s="94"/>
      <c r="C59" s="94"/>
      <c r="D59" s="94"/>
      <c r="E59" s="94"/>
      <c r="F59" s="94"/>
      <c r="G59" s="94"/>
      <c r="H59" s="94"/>
      <c r="I59" s="123" t="s">
        <v>33</v>
      </c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4"/>
    </row>
    <row r="60" spans="1:68" ht="14.5" customHeight="1" x14ac:dyDescent="0.35">
      <c r="A60" s="94"/>
      <c r="B60" s="94"/>
      <c r="C60" s="94"/>
      <c r="D60" s="94"/>
      <c r="E60" s="94"/>
      <c r="F60" s="94"/>
      <c r="G60" s="94"/>
      <c r="H60" s="94"/>
      <c r="I60" s="125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26"/>
      <c r="BI60" s="126"/>
      <c r="BJ60" s="126"/>
      <c r="BK60" s="126"/>
      <c r="BL60" s="126"/>
      <c r="BM60" s="126"/>
      <c r="BN60" s="126"/>
      <c r="BO60" s="126"/>
      <c r="BP60" s="16"/>
    </row>
    <row r="61" spans="1:68" ht="21" x14ac:dyDescent="0.35">
      <c r="A61" s="4" t="s">
        <v>0</v>
      </c>
      <c r="B61" s="4" t="s">
        <v>1</v>
      </c>
      <c r="C61" s="4" t="s">
        <v>2</v>
      </c>
      <c r="D61" s="4" t="s">
        <v>3</v>
      </c>
      <c r="E61" s="4" t="s">
        <v>4</v>
      </c>
      <c r="F61" s="4" t="s">
        <v>5</v>
      </c>
      <c r="G61" s="4" t="s">
        <v>6</v>
      </c>
      <c r="H61" s="4" t="s">
        <v>20</v>
      </c>
      <c r="I61" s="97" t="s">
        <v>117</v>
      </c>
      <c r="J61" s="98"/>
      <c r="K61" s="4" t="s">
        <v>21</v>
      </c>
      <c r="L61" s="4" t="s">
        <v>119</v>
      </c>
      <c r="M61" s="4" t="s">
        <v>120</v>
      </c>
      <c r="N61" s="133" t="s">
        <v>117</v>
      </c>
      <c r="O61" s="134"/>
      <c r="P61" s="8" t="s">
        <v>22</v>
      </c>
      <c r="Q61" s="8" t="s">
        <v>119</v>
      </c>
      <c r="R61" s="8" t="s">
        <v>120</v>
      </c>
      <c r="S61" s="97" t="s">
        <v>117</v>
      </c>
      <c r="T61" s="98"/>
      <c r="U61" s="4" t="s">
        <v>23</v>
      </c>
      <c r="V61" s="4" t="s">
        <v>119</v>
      </c>
      <c r="W61" s="4" t="s">
        <v>120</v>
      </c>
      <c r="X61" s="133" t="s">
        <v>117</v>
      </c>
      <c r="Y61" s="134"/>
      <c r="Z61" s="8" t="s">
        <v>24</v>
      </c>
      <c r="AA61" s="8" t="s">
        <v>119</v>
      </c>
      <c r="AB61" s="8" t="s">
        <v>120</v>
      </c>
      <c r="AC61" s="97" t="s">
        <v>117</v>
      </c>
      <c r="AD61" s="98"/>
      <c r="AE61" s="4" t="s">
        <v>25</v>
      </c>
      <c r="AF61" s="4" t="s">
        <v>119</v>
      </c>
      <c r="AG61" s="4" t="s">
        <v>120</v>
      </c>
      <c r="AH61" s="133" t="s">
        <v>117</v>
      </c>
      <c r="AI61" s="134"/>
      <c r="AJ61" s="8" t="s">
        <v>26</v>
      </c>
      <c r="AK61" s="8" t="s">
        <v>119</v>
      </c>
      <c r="AL61" s="8" t="s">
        <v>120</v>
      </c>
      <c r="AM61" s="97" t="s">
        <v>117</v>
      </c>
      <c r="AN61" s="98"/>
      <c r="AO61" s="4" t="s">
        <v>27</v>
      </c>
      <c r="AP61" s="4" t="s">
        <v>119</v>
      </c>
      <c r="AQ61" s="4" t="s">
        <v>120</v>
      </c>
      <c r="AR61" s="133" t="s">
        <v>117</v>
      </c>
      <c r="AS61" s="134"/>
      <c r="AT61" s="8" t="s">
        <v>28</v>
      </c>
      <c r="AU61" s="8" t="s">
        <v>119</v>
      </c>
      <c r="AV61" s="8" t="s">
        <v>120</v>
      </c>
      <c r="AW61" s="97" t="s">
        <v>117</v>
      </c>
      <c r="AX61" s="98"/>
      <c r="AY61" s="4" t="s">
        <v>29</v>
      </c>
      <c r="AZ61" s="4" t="s">
        <v>119</v>
      </c>
      <c r="BA61" s="4" t="s">
        <v>120</v>
      </c>
      <c r="BB61" s="133" t="s">
        <v>117</v>
      </c>
      <c r="BC61" s="134"/>
      <c r="BD61" s="8" t="s">
        <v>30</v>
      </c>
      <c r="BE61" s="8" t="s">
        <v>119</v>
      </c>
      <c r="BF61" s="8" t="s">
        <v>120</v>
      </c>
      <c r="BG61" s="97" t="s">
        <v>117</v>
      </c>
      <c r="BH61" s="98"/>
      <c r="BI61" s="4" t="s">
        <v>31</v>
      </c>
      <c r="BJ61" s="4" t="s">
        <v>119</v>
      </c>
      <c r="BK61" s="4" t="s">
        <v>120</v>
      </c>
      <c r="BL61" s="133" t="s">
        <v>117</v>
      </c>
      <c r="BM61" s="134"/>
      <c r="BN61" s="8" t="s">
        <v>32</v>
      </c>
      <c r="BO61" s="8" t="s">
        <v>119</v>
      </c>
      <c r="BP61" s="8" t="s">
        <v>120</v>
      </c>
    </row>
    <row r="62" spans="1:68" ht="65.25" customHeight="1" x14ac:dyDescent="0.35">
      <c r="A62" s="100" t="s">
        <v>51</v>
      </c>
      <c r="B62" s="82" t="s">
        <v>99</v>
      </c>
      <c r="C62" s="136" t="s">
        <v>132</v>
      </c>
      <c r="D62" s="82" t="s">
        <v>100</v>
      </c>
      <c r="E62" s="82" t="s">
        <v>98</v>
      </c>
      <c r="F62" s="82" t="s">
        <v>7</v>
      </c>
      <c r="G62" s="82" t="s">
        <v>61</v>
      </c>
      <c r="H62" s="139" t="s">
        <v>56</v>
      </c>
      <c r="I62" s="23"/>
      <c r="J62" s="24"/>
      <c r="K62" s="149"/>
      <c r="L62" s="147"/>
      <c r="M62" s="150"/>
      <c r="N62" s="23"/>
      <c r="O62" s="24"/>
      <c r="P62" s="149"/>
      <c r="Q62" s="147"/>
      <c r="R62" s="148"/>
      <c r="S62" s="23"/>
      <c r="T62" s="24"/>
      <c r="U62" s="149"/>
      <c r="V62" s="147"/>
      <c r="W62" s="148"/>
      <c r="X62" s="23"/>
      <c r="Y62" s="24"/>
      <c r="Z62" s="149"/>
      <c r="AA62" s="147"/>
      <c r="AB62" s="148"/>
      <c r="AC62" s="23"/>
      <c r="AD62" s="24"/>
      <c r="AE62" s="149"/>
      <c r="AF62" s="147"/>
      <c r="AG62" s="148"/>
      <c r="AH62" s="23"/>
      <c r="AI62" s="24"/>
      <c r="AJ62" s="149"/>
      <c r="AK62" s="147"/>
      <c r="AL62" s="148"/>
      <c r="AM62" s="23"/>
      <c r="AN62" s="24"/>
      <c r="AO62" s="149"/>
      <c r="AP62" s="147"/>
      <c r="AQ62" s="148"/>
      <c r="AR62" s="23"/>
      <c r="AS62" s="24"/>
      <c r="AT62" s="149"/>
      <c r="AU62" s="147"/>
      <c r="AV62" s="148"/>
      <c r="AW62" s="23"/>
      <c r="AX62" s="24"/>
      <c r="AY62" s="149"/>
      <c r="AZ62" s="147"/>
      <c r="BA62" s="148"/>
      <c r="BB62" s="23"/>
      <c r="BC62" s="24"/>
      <c r="BD62" s="149"/>
      <c r="BE62" s="147"/>
      <c r="BF62" s="148"/>
      <c r="BG62" s="23"/>
      <c r="BH62" s="25"/>
      <c r="BI62" s="149"/>
      <c r="BJ62" s="147"/>
      <c r="BK62" s="148"/>
      <c r="BL62" s="12" t="s">
        <v>133</v>
      </c>
      <c r="BM62" s="11">
        <v>2</v>
      </c>
      <c r="BN62" s="151">
        <f>(BM62/BM63)*100000</f>
        <v>5150.6567087303629</v>
      </c>
      <c r="BO62" s="144" t="s">
        <v>121</v>
      </c>
      <c r="BP62" s="145" t="s">
        <v>134</v>
      </c>
    </row>
    <row r="63" spans="1:68" ht="65.25" customHeight="1" x14ac:dyDescent="0.35">
      <c r="A63" s="102"/>
      <c r="B63" s="83"/>
      <c r="C63" s="138"/>
      <c r="D63" s="83"/>
      <c r="E63" s="83"/>
      <c r="F63" s="83"/>
      <c r="G63" s="83"/>
      <c r="H63" s="141"/>
      <c r="I63" s="25"/>
      <c r="J63" s="24"/>
      <c r="K63" s="149"/>
      <c r="L63" s="147"/>
      <c r="M63" s="150"/>
      <c r="N63" s="25"/>
      <c r="O63" s="24"/>
      <c r="P63" s="149"/>
      <c r="Q63" s="147"/>
      <c r="R63" s="148"/>
      <c r="S63" s="25"/>
      <c r="T63" s="24"/>
      <c r="U63" s="149"/>
      <c r="V63" s="147"/>
      <c r="W63" s="148"/>
      <c r="X63" s="25"/>
      <c r="Y63" s="24"/>
      <c r="Z63" s="149"/>
      <c r="AA63" s="147"/>
      <c r="AB63" s="148"/>
      <c r="AC63" s="25"/>
      <c r="AD63" s="24"/>
      <c r="AE63" s="149"/>
      <c r="AF63" s="147"/>
      <c r="AG63" s="148"/>
      <c r="AH63" s="25"/>
      <c r="AI63" s="24"/>
      <c r="AJ63" s="149"/>
      <c r="AK63" s="147"/>
      <c r="AL63" s="148"/>
      <c r="AM63" s="25"/>
      <c r="AN63" s="24"/>
      <c r="AO63" s="149"/>
      <c r="AP63" s="147"/>
      <c r="AQ63" s="148"/>
      <c r="AR63" s="25"/>
      <c r="AS63" s="24"/>
      <c r="AT63" s="149"/>
      <c r="AU63" s="147"/>
      <c r="AV63" s="148"/>
      <c r="AW63" s="25"/>
      <c r="AX63" s="24"/>
      <c r="AY63" s="149"/>
      <c r="AZ63" s="147"/>
      <c r="BA63" s="148"/>
      <c r="BB63" s="25"/>
      <c r="BC63" s="24"/>
      <c r="BD63" s="149"/>
      <c r="BE63" s="147"/>
      <c r="BF63" s="148"/>
      <c r="BG63" s="25"/>
      <c r="BH63" s="25"/>
      <c r="BI63" s="149"/>
      <c r="BJ63" s="147"/>
      <c r="BK63" s="148"/>
      <c r="BL63" s="12" t="s">
        <v>135</v>
      </c>
      <c r="BM63" s="11">
        <v>38.83</v>
      </c>
      <c r="BN63" s="151"/>
      <c r="BO63" s="144"/>
      <c r="BP63" s="145"/>
    </row>
    <row r="87" spans="1:68" ht="14.5" customHeight="1" x14ac:dyDescent="0.35">
      <c r="A87" s="94" t="s">
        <v>309</v>
      </c>
      <c r="B87" s="94"/>
      <c r="C87" s="94"/>
      <c r="D87" s="94"/>
      <c r="E87" s="94"/>
      <c r="F87" s="94"/>
      <c r="G87" s="94"/>
      <c r="H87" s="94"/>
      <c r="I87" s="123" t="s">
        <v>33</v>
      </c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  <c r="BE87" s="124"/>
      <c r="BF87" s="124"/>
      <c r="BG87" s="124"/>
      <c r="BH87" s="124"/>
      <c r="BI87" s="124"/>
      <c r="BJ87" s="124"/>
      <c r="BK87" s="124"/>
      <c r="BL87" s="124"/>
      <c r="BM87" s="124"/>
      <c r="BN87" s="124"/>
      <c r="BO87" s="124"/>
      <c r="BP87" s="124"/>
    </row>
    <row r="88" spans="1:68" ht="14.5" customHeight="1" x14ac:dyDescent="0.35">
      <c r="A88" s="94"/>
      <c r="B88" s="94"/>
      <c r="C88" s="94"/>
      <c r="D88" s="94"/>
      <c r="E88" s="94"/>
      <c r="F88" s="94"/>
      <c r="G88" s="94"/>
      <c r="H88" s="94"/>
      <c r="I88" s="125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  <c r="BD88" s="126"/>
      <c r="BE88" s="126"/>
      <c r="BF88" s="126"/>
      <c r="BG88" s="126"/>
      <c r="BH88" s="126"/>
      <c r="BI88" s="126"/>
      <c r="BJ88" s="126"/>
      <c r="BK88" s="126"/>
      <c r="BL88" s="126"/>
      <c r="BM88" s="126"/>
      <c r="BN88" s="126"/>
      <c r="BO88" s="126"/>
      <c r="BP88" s="126"/>
    </row>
    <row r="89" spans="1:68" ht="21" x14ac:dyDescent="0.35">
      <c r="A89" s="4" t="s">
        <v>0</v>
      </c>
      <c r="B89" s="4" t="s">
        <v>1</v>
      </c>
      <c r="C89" s="4" t="s">
        <v>2</v>
      </c>
      <c r="D89" s="4" t="s">
        <v>3</v>
      </c>
      <c r="E89" s="4" t="s">
        <v>4</v>
      </c>
      <c r="F89" s="4" t="s">
        <v>5</v>
      </c>
      <c r="G89" s="4" t="s">
        <v>6</v>
      </c>
      <c r="H89" s="4" t="s">
        <v>20</v>
      </c>
      <c r="I89" s="97" t="s">
        <v>117</v>
      </c>
      <c r="J89" s="98"/>
      <c r="K89" s="4" t="s">
        <v>21</v>
      </c>
      <c r="L89" s="4" t="s">
        <v>119</v>
      </c>
      <c r="M89" s="4" t="s">
        <v>120</v>
      </c>
      <c r="N89" s="133" t="s">
        <v>117</v>
      </c>
      <c r="O89" s="134"/>
      <c r="P89" s="8" t="s">
        <v>22</v>
      </c>
      <c r="Q89" s="8" t="s">
        <v>119</v>
      </c>
      <c r="R89" s="8" t="s">
        <v>120</v>
      </c>
      <c r="S89" s="97" t="s">
        <v>117</v>
      </c>
      <c r="T89" s="98"/>
      <c r="U89" s="4" t="s">
        <v>23</v>
      </c>
      <c r="V89" s="4" t="s">
        <v>119</v>
      </c>
      <c r="W89" s="4" t="s">
        <v>120</v>
      </c>
      <c r="X89" s="133" t="s">
        <v>117</v>
      </c>
      <c r="Y89" s="134"/>
      <c r="Z89" s="8" t="s">
        <v>24</v>
      </c>
      <c r="AA89" s="8" t="s">
        <v>119</v>
      </c>
      <c r="AB89" s="8" t="s">
        <v>120</v>
      </c>
      <c r="AC89" s="97" t="s">
        <v>117</v>
      </c>
      <c r="AD89" s="98"/>
      <c r="AE89" s="4" t="s">
        <v>25</v>
      </c>
      <c r="AF89" s="4" t="s">
        <v>119</v>
      </c>
      <c r="AG89" s="4" t="s">
        <v>120</v>
      </c>
      <c r="AH89" s="133" t="s">
        <v>117</v>
      </c>
      <c r="AI89" s="134"/>
      <c r="AJ89" s="8" t="s">
        <v>26</v>
      </c>
      <c r="AK89" s="8" t="s">
        <v>119</v>
      </c>
      <c r="AL89" s="8" t="s">
        <v>120</v>
      </c>
      <c r="AM89" s="97" t="s">
        <v>117</v>
      </c>
      <c r="AN89" s="98"/>
      <c r="AO89" s="4" t="s">
        <v>27</v>
      </c>
      <c r="AP89" s="4" t="s">
        <v>119</v>
      </c>
      <c r="AQ89" s="4" t="s">
        <v>120</v>
      </c>
      <c r="AR89" s="133" t="s">
        <v>117</v>
      </c>
      <c r="AS89" s="134"/>
      <c r="AT89" s="8" t="s">
        <v>28</v>
      </c>
      <c r="AU89" s="8" t="s">
        <v>119</v>
      </c>
      <c r="AV89" s="8" t="s">
        <v>120</v>
      </c>
      <c r="AW89" s="97" t="s">
        <v>117</v>
      </c>
      <c r="AX89" s="98"/>
      <c r="AY89" s="4" t="s">
        <v>29</v>
      </c>
      <c r="AZ89" s="4" t="s">
        <v>119</v>
      </c>
      <c r="BA89" s="4" t="s">
        <v>120</v>
      </c>
      <c r="BB89" s="133" t="s">
        <v>117</v>
      </c>
      <c r="BC89" s="134"/>
      <c r="BD89" s="8" t="s">
        <v>30</v>
      </c>
      <c r="BE89" s="8" t="s">
        <v>119</v>
      </c>
      <c r="BF89" s="8" t="s">
        <v>120</v>
      </c>
      <c r="BG89" s="97" t="s">
        <v>117</v>
      </c>
      <c r="BH89" s="98"/>
      <c r="BI89" s="4" t="s">
        <v>31</v>
      </c>
      <c r="BJ89" s="4" t="s">
        <v>119</v>
      </c>
      <c r="BK89" s="4" t="s">
        <v>120</v>
      </c>
      <c r="BL89" s="133" t="s">
        <v>117</v>
      </c>
      <c r="BM89" s="134"/>
      <c r="BN89" s="8" t="s">
        <v>32</v>
      </c>
      <c r="BO89" s="8" t="s">
        <v>119</v>
      </c>
      <c r="BP89" s="8" t="s">
        <v>120</v>
      </c>
    </row>
    <row r="90" spans="1:68" ht="56.25" customHeight="1" x14ac:dyDescent="0.35">
      <c r="A90" s="100" t="s">
        <v>52</v>
      </c>
      <c r="B90" s="82" t="s">
        <v>97</v>
      </c>
      <c r="C90" s="136" t="s">
        <v>136</v>
      </c>
      <c r="D90" s="82" t="s">
        <v>101</v>
      </c>
      <c r="E90" s="82" t="s">
        <v>98</v>
      </c>
      <c r="F90" s="82" t="s">
        <v>7</v>
      </c>
      <c r="G90" s="82" t="s">
        <v>61</v>
      </c>
      <c r="H90" s="139" t="s">
        <v>56</v>
      </c>
      <c r="I90" s="23"/>
      <c r="J90" s="24"/>
      <c r="K90" s="149"/>
      <c r="L90" s="147"/>
      <c r="M90" s="150"/>
      <c r="N90" s="23"/>
      <c r="O90" s="24"/>
      <c r="P90" s="149"/>
      <c r="Q90" s="147"/>
      <c r="R90" s="148"/>
      <c r="S90" s="23"/>
      <c r="T90" s="24"/>
      <c r="U90" s="149"/>
      <c r="V90" s="147"/>
      <c r="W90" s="148"/>
      <c r="X90" s="23"/>
      <c r="Y90" s="24"/>
      <c r="Z90" s="149"/>
      <c r="AA90" s="147"/>
      <c r="AB90" s="148"/>
      <c r="AC90" s="23"/>
      <c r="AD90" s="24"/>
      <c r="AE90" s="149"/>
      <c r="AF90" s="147"/>
      <c r="AG90" s="148"/>
      <c r="AH90" s="23"/>
      <c r="AI90" s="24"/>
      <c r="AJ90" s="149"/>
      <c r="AK90" s="147"/>
      <c r="AL90" s="148"/>
      <c r="AM90" s="23"/>
      <c r="AN90" s="24"/>
      <c r="AO90" s="149"/>
      <c r="AP90" s="147"/>
      <c r="AQ90" s="148"/>
      <c r="AR90" s="23"/>
      <c r="AS90" s="24"/>
      <c r="AT90" s="149"/>
      <c r="AU90" s="147"/>
      <c r="AV90" s="148"/>
      <c r="AW90" s="23"/>
      <c r="AX90" s="24"/>
      <c r="AY90" s="149"/>
      <c r="AZ90" s="147"/>
      <c r="BA90" s="148"/>
      <c r="BB90" s="23"/>
      <c r="BC90" s="24"/>
      <c r="BD90" s="149"/>
      <c r="BE90" s="147"/>
      <c r="BF90" s="148"/>
      <c r="BG90" s="23"/>
      <c r="BH90" s="25"/>
      <c r="BI90" s="149"/>
      <c r="BJ90" s="147"/>
      <c r="BK90" s="148"/>
      <c r="BL90" s="12" t="s">
        <v>137</v>
      </c>
      <c r="BM90" s="11">
        <v>4</v>
      </c>
      <c r="BN90" s="151">
        <f>(BM90/BM91)*100000</f>
        <v>10301.313417460726</v>
      </c>
      <c r="BO90" s="144" t="s">
        <v>121</v>
      </c>
      <c r="BP90" s="145" t="s">
        <v>138</v>
      </c>
    </row>
    <row r="91" spans="1:68" ht="56.25" customHeight="1" x14ac:dyDescent="0.35">
      <c r="A91" s="102"/>
      <c r="B91" s="83"/>
      <c r="C91" s="138"/>
      <c r="D91" s="83"/>
      <c r="E91" s="83"/>
      <c r="F91" s="83"/>
      <c r="G91" s="83"/>
      <c r="H91" s="141"/>
      <c r="I91" s="25"/>
      <c r="J91" s="24"/>
      <c r="K91" s="149"/>
      <c r="L91" s="147"/>
      <c r="M91" s="150"/>
      <c r="N91" s="25"/>
      <c r="O91" s="24"/>
      <c r="P91" s="149"/>
      <c r="Q91" s="147"/>
      <c r="R91" s="148"/>
      <c r="S91" s="25"/>
      <c r="T91" s="24"/>
      <c r="U91" s="149"/>
      <c r="V91" s="147"/>
      <c r="W91" s="148"/>
      <c r="X91" s="25"/>
      <c r="Y91" s="24"/>
      <c r="Z91" s="149"/>
      <c r="AA91" s="147"/>
      <c r="AB91" s="148"/>
      <c r="AC91" s="25"/>
      <c r="AD91" s="24"/>
      <c r="AE91" s="149"/>
      <c r="AF91" s="147"/>
      <c r="AG91" s="148"/>
      <c r="AH91" s="25"/>
      <c r="AI91" s="24"/>
      <c r="AJ91" s="149"/>
      <c r="AK91" s="147"/>
      <c r="AL91" s="148"/>
      <c r="AM91" s="25"/>
      <c r="AN91" s="24"/>
      <c r="AO91" s="149"/>
      <c r="AP91" s="147"/>
      <c r="AQ91" s="148"/>
      <c r="AR91" s="25"/>
      <c r="AS91" s="24"/>
      <c r="AT91" s="149"/>
      <c r="AU91" s="147"/>
      <c r="AV91" s="148"/>
      <c r="AW91" s="25"/>
      <c r="AX91" s="24"/>
      <c r="AY91" s="149"/>
      <c r="AZ91" s="147"/>
      <c r="BA91" s="148"/>
      <c r="BB91" s="25"/>
      <c r="BC91" s="24"/>
      <c r="BD91" s="149"/>
      <c r="BE91" s="147"/>
      <c r="BF91" s="148"/>
      <c r="BG91" s="25"/>
      <c r="BH91" s="25"/>
      <c r="BI91" s="149"/>
      <c r="BJ91" s="147"/>
      <c r="BK91" s="148"/>
      <c r="BL91" s="12" t="s">
        <v>135</v>
      </c>
      <c r="BM91" s="11">
        <v>38.83</v>
      </c>
      <c r="BN91" s="151"/>
      <c r="BO91" s="144"/>
      <c r="BP91" s="145"/>
    </row>
    <row r="116" spans="1:68" ht="14.5" customHeight="1" x14ac:dyDescent="0.35">
      <c r="A116" s="94" t="s">
        <v>309</v>
      </c>
      <c r="B116" s="94"/>
      <c r="C116" s="94"/>
      <c r="D116" s="94"/>
      <c r="E116" s="94"/>
      <c r="F116" s="94"/>
      <c r="G116" s="94"/>
      <c r="H116" s="94"/>
      <c r="I116" s="123" t="s">
        <v>33</v>
      </c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  <c r="BA116" s="124"/>
      <c r="BB116" s="124"/>
      <c r="BC116" s="124"/>
      <c r="BD116" s="124"/>
      <c r="BE116" s="124"/>
      <c r="BF116" s="124"/>
      <c r="BG116" s="124"/>
      <c r="BH116" s="124"/>
      <c r="BI116" s="124"/>
      <c r="BJ116" s="124"/>
      <c r="BK116" s="124"/>
      <c r="BL116" s="124"/>
      <c r="BM116" s="124"/>
      <c r="BN116" s="124"/>
      <c r="BO116" s="124"/>
      <c r="BP116" s="14"/>
    </row>
    <row r="117" spans="1:68" ht="14.5" customHeight="1" x14ac:dyDescent="0.35">
      <c r="A117" s="94"/>
      <c r="B117" s="94"/>
      <c r="C117" s="94"/>
      <c r="D117" s="94"/>
      <c r="E117" s="94"/>
      <c r="F117" s="94"/>
      <c r="G117" s="94"/>
      <c r="H117" s="94"/>
      <c r="I117" s="125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6"/>
    </row>
    <row r="118" spans="1:68" ht="21" x14ac:dyDescent="0.35">
      <c r="A118" s="4" t="s">
        <v>0</v>
      </c>
      <c r="B118" s="4" t="s">
        <v>1</v>
      </c>
      <c r="C118" s="4" t="s">
        <v>2</v>
      </c>
      <c r="D118" s="4" t="s">
        <v>3</v>
      </c>
      <c r="E118" s="4" t="s">
        <v>4</v>
      </c>
      <c r="F118" s="4" t="s">
        <v>5</v>
      </c>
      <c r="G118" s="4" t="s">
        <v>6</v>
      </c>
      <c r="H118" s="4" t="s">
        <v>20</v>
      </c>
      <c r="I118" s="97" t="s">
        <v>117</v>
      </c>
      <c r="J118" s="98"/>
      <c r="K118" s="4" t="s">
        <v>21</v>
      </c>
      <c r="L118" s="4" t="s">
        <v>119</v>
      </c>
      <c r="M118" s="4" t="s">
        <v>120</v>
      </c>
      <c r="N118" s="133" t="s">
        <v>117</v>
      </c>
      <c r="O118" s="134"/>
      <c r="P118" s="8" t="s">
        <v>22</v>
      </c>
      <c r="Q118" s="8" t="s">
        <v>119</v>
      </c>
      <c r="R118" s="8" t="s">
        <v>120</v>
      </c>
      <c r="S118" s="97" t="s">
        <v>117</v>
      </c>
      <c r="T118" s="98"/>
      <c r="U118" s="4" t="s">
        <v>23</v>
      </c>
      <c r="V118" s="4" t="s">
        <v>119</v>
      </c>
      <c r="W118" s="4" t="s">
        <v>120</v>
      </c>
      <c r="X118" s="133" t="s">
        <v>117</v>
      </c>
      <c r="Y118" s="134"/>
      <c r="Z118" s="8" t="s">
        <v>24</v>
      </c>
      <c r="AA118" s="8" t="s">
        <v>119</v>
      </c>
      <c r="AB118" s="8" t="s">
        <v>120</v>
      </c>
      <c r="AC118" s="97" t="s">
        <v>117</v>
      </c>
      <c r="AD118" s="98"/>
      <c r="AE118" s="4" t="s">
        <v>25</v>
      </c>
      <c r="AF118" s="4" t="s">
        <v>119</v>
      </c>
      <c r="AG118" s="4" t="s">
        <v>120</v>
      </c>
      <c r="AH118" s="133" t="s">
        <v>117</v>
      </c>
      <c r="AI118" s="134"/>
      <c r="AJ118" s="8" t="s">
        <v>26</v>
      </c>
      <c r="AK118" s="8" t="s">
        <v>119</v>
      </c>
      <c r="AL118" s="8" t="s">
        <v>120</v>
      </c>
      <c r="AM118" s="97" t="s">
        <v>117</v>
      </c>
      <c r="AN118" s="98"/>
      <c r="AO118" s="4" t="s">
        <v>27</v>
      </c>
      <c r="AP118" s="4" t="s">
        <v>119</v>
      </c>
      <c r="AQ118" s="4" t="s">
        <v>120</v>
      </c>
      <c r="AR118" s="133" t="s">
        <v>117</v>
      </c>
      <c r="AS118" s="134"/>
      <c r="AT118" s="8" t="s">
        <v>28</v>
      </c>
      <c r="AU118" s="8" t="s">
        <v>119</v>
      </c>
      <c r="AV118" s="8" t="s">
        <v>120</v>
      </c>
      <c r="AW118" s="97" t="s">
        <v>117</v>
      </c>
      <c r="AX118" s="98"/>
      <c r="AY118" s="4" t="s">
        <v>29</v>
      </c>
      <c r="AZ118" s="4" t="s">
        <v>119</v>
      </c>
      <c r="BA118" s="4" t="s">
        <v>120</v>
      </c>
      <c r="BB118" s="133" t="s">
        <v>117</v>
      </c>
      <c r="BC118" s="134"/>
      <c r="BD118" s="8" t="s">
        <v>30</v>
      </c>
      <c r="BE118" s="8" t="s">
        <v>119</v>
      </c>
      <c r="BF118" s="8" t="s">
        <v>120</v>
      </c>
      <c r="BG118" s="97" t="s">
        <v>117</v>
      </c>
      <c r="BH118" s="98"/>
      <c r="BI118" s="4" t="s">
        <v>31</v>
      </c>
      <c r="BJ118" s="4" t="s">
        <v>119</v>
      </c>
      <c r="BK118" s="4" t="s">
        <v>120</v>
      </c>
      <c r="BL118" s="133" t="s">
        <v>117</v>
      </c>
      <c r="BM118" s="134"/>
      <c r="BN118" s="8" t="s">
        <v>32</v>
      </c>
      <c r="BO118" s="8" t="s">
        <v>119</v>
      </c>
      <c r="BP118" s="8" t="s">
        <v>120</v>
      </c>
    </row>
    <row r="119" spans="1:68" ht="40.5" customHeight="1" x14ac:dyDescent="0.35">
      <c r="A119" s="100" t="s">
        <v>102</v>
      </c>
      <c r="B119" s="82" t="s">
        <v>103</v>
      </c>
      <c r="C119" s="136" t="s">
        <v>139</v>
      </c>
      <c r="D119" s="82" t="s">
        <v>115</v>
      </c>
      <c r="E119" s="82" t="s">
        <v>104</v>
      </c>
      <c r="F119" s="76" t="s">
        <v>13</v>
      </c>
      <c r="G119" s="76" t="s">
        <v>61</v>
      </c>
      <c r="H119" s="143" t="s">
        <v>56</v>
      </c>
      <c r="I119" s="26" t="s">
        <v>140</v>
      </c>
      <c r="J119" s="11">
        <v>2</v>
      </c>
      <c r="K119" s="146">
        <f>(J119+J120+J121+J122)/(J123*J124)</f>
        <v>2.6666666666666668E-2</v>
      </c>
      <c r="L119" s="144" t="s">
        <v>83</v>
      </c>
      <c r="M119" s="145" t="s">
        <v>141</v>
      </c>
      <c r="N119" s="26" t="s">
        <v>140</v>
      </c>
      <c r="O119" s="11">
        <v>5</v>
      </c>
      <c r="P119" s="146">
        <f>(O119+O120+O121+O122)/(O123*O124)</f>
        <v>2.3333333333333334E-2</v>
      </c>
      <c r="Q119" s="144"/>
      <c r="R119" s="145"/>
      <c r="S119" s="26" t="s">
        <v>140</v>
      </c>
      <c r="T119" s="11">
        <v>6</v>
      </c>
      <c r="U119" s="146">
        <f>(T119+T120+T121+T122)/(T123*T124)</f>
        <v>2.6666666666666668E-2</v>
      </c>
      <c r="V119" s="144"/>
      <c r="W119" s="145"/>
      <c r="X119" s="26" t="s">
        <v>140</v>
      </c>
      <c r="Y119" s="11">
        <v>5</v>
      </c>
      <c r="Z119" s="146">
        <f>(Y119+Y120+Y121+Y122)/(Y123*Y124)</f>
        <v>2.5000000000000001E-2</v>
      </c>
      <c r="AA119" s="144"/>
      <c r="AB119" s="145"/>
      <c r="AC119" s="26" t="s">
        <v>140</v>
      </c>
      <c r="AD119" s="11">
        <v>5</v>
      </c>
      <c r="AE119" s="146">
        <f>(AD119+AD120+AD121+AD122)/(AD123*AD124)</f>
        <v>2.3333333333333334E-2</v>
      </c>
      <c r="AF119" s="144"/>
      <c r="AG119" s="145"/>
      <c r="AH119" s="26" t="s">
        <v>140</v>
      </c>
      <c r="AI119" s="11">
        <v>5</v>
      </c>
      <c r="AJ119" s="146">
        <f>(AI119+AI120+AI121+AI122)/(AI123*AI124)</f>
        <v>1.5555555555555555E-2</v>
      </c>
      <c r="AK119" s="144"/>
      <c r="AL119" s="145"/>
      <c r="AM119" s="26" t="s">
        <v>140</v>
      </c>
      <c r="AN119" s="11">
        <v>5</v>
      </c>
      <c r="AO119" s="146">
        <f>(AN119+AN120+AN121+AN122)/(AN123*AN124)</f>
        <v>2.3333333333333334E-2</v>
      </c>
      <c r="AP119" s="144"/>
      <c r="AQ119" s="145"/>
      <c r="AR119" s="26" t="s">
        <v>140</v>
      </c>
      <c r="AS119" s="11">
        <v>5</v>
      </c>
      <c r="AT119" s="146">
        <f>(AS119+AS120+AS121+AS122)/(AS123*AS124)</f>
        <v>2.3333333333333334E-2</v>
      </c>
      <c r="AU119" s="144"/>
      <c r="AV119" s="145"/>
      <c r="AW119" s="26" t="s">
        <v>140</v>
      </c>
      <c r="AX119" s="11">
        <v>5</v>
      </c>
      <c r="AY119" s="146">
        <f>(AX119+AX120+AX121+AX122)/(AX123*AX124)</f>
        <v>2.3333333333333334E-2</v>
      </c>
      <c r="AZ119" s="144"/>
      <c r="BA119" s="145"/>
      <c r="BB119" s="26" t="s">
        <v>140</v>
      </c>
      <c r="BC119" s="11">
        <v>5</v>
      </c>
      <c r="BD119" s="146">
        <f>(BC119+BC120+BC121+BC122)/(BC123*BC124)</f>
        <v>2.3333333333333334E-2</v>
      </c>
      <c r="BE119" s="144"/>
      <c r="BF119" s="145"/>
      <c r="BG119" s="26" t="s">
        <v>140</v>
      </c>
      <c r="BH119" s="11">
        <v>5</v>
      </c>
      <c r="BI119" s="146">
        <f>(BH119+BH120+BH121+BH122)/(BH123*BH124)</f>
        <v>3.3333333333333333E-2</v>
      </c>
      <c r="BJ119" s="144"/>
      <c r="BK119" s="145"/>
      <c r="BL119" s="26" t="s">
        <v>140</v>
      </c>
      <c r="BM119" s="11">
        <v>10</v>
      </c>
      <c r="BN119" s="146">
        <f>(BM119+BM120+BM121+BM122)/(BM123*BM124)</f>
        <v>5.2083333333333336E-2</v>
      </c>
      <c r="BO119" s="144" t="s">
        <v>121</v>
      </c>
      <c r="BP119" s="145" t="s">
        <v>142</v>
      </c>
    </row>
    <row r="120" spans="1:68" ht="40.5" customHeight="1" x14ac:dyDescent="0.35">
      <c r="A120" s="101"/>
      <c r="B120" s="135"/>
      <c r="C120" s="137"/>
      <c r="D120" s="135"/>
      <c r="E120" s="135"/>
      <c r="F120" s="76"/>
      <c r="G120" s="76"/>
      <c r="H120" s="143"/>
      <c r="I120" s="26" t="s">
        <v>143</v>
      </c>
      <c r="J120" s="11">
        <v>5</v>
      </c>
      <c r="K120" s="146"/>
      <c r="L120" s="144"/>
      <c r="M120" s="145"/>
      <c r="N120" s="26" t="s">
        <v>143</v>
      </c>
      <c r="O120" s="11">
        <v>5</v>
      </c>
      <c r="P120" s="146"/>
      <c r="Q120" s="144"/>
      <c r="R120" s="145"/>
      <c r="S120" s="26" t="s">
        <v>143</v>
      </c>
      <c r="T120" s="11">
        <v>6</v>
      </c>
      <c r="U120" s="146"/>
      <c r="V120" s="144"/>
      <c r="W120" s="145"/>
      <c r="X120" s="26" t="s">
        <v>143</v>
      </c>
      <c r="Y120" s="11">
        <v>5</v>
      </c>
      <c r="Z120" s="146"/>
      <c r="AA120" s="144"/>
      <c r="AB120" s="145"/>
      <c r="AC120" s="26" t="s">
        <v>143</v>
      </c>
      <c r="AD120" s="11">
        <v>5</v>
      </c>
      <c r="AE120" s="146"/>
      <c r="AF120" s="144"/>
      <c r="AG120" s="145"/>
      <c r="AH120" s="26" t="s">
        <v>143</v>
      </c>
      <c r="AI120" s="11">
        <v>5</v>
      </c>
      <c r="AJ120" s="146"/>
      <c r="AK120" s="144"/>
      <c r="AL120" s="145"/>
      <c r="AM120" s="26" t="s">
        <v>143</v>
      </c>
      <c r="AN120" s="11">
        <v>5</v>
      </c>
      <c r="AO120" s="146"/>
      <c r="AP120" s="144"/>
      <c r="AQ120" s="145"/>
      <c r="AR120" s="26" t="s">
        <v>143</v>
      </c>
      <c r="AS120" s="11">
        <v>5</v>
      </c>
      <c r="AT120" s="146"/>
      <c r="AU120" s="144"/>
      <c r="AV120" s="145"/>
      <c r="AW120" s="26" t="s">
        <v>143</v>
      </c>
      <c r="AX120" s="11">
        <v>5</v>
      </c>
      <c r="AY120" s="146"/>
      <c r="AZ120" s="144"/>
      <c r="BA120" s="145"/>
      <c r="BB120" s="26" t="s">
        <v>143</v>
      </c>
      <c r="BC120" s="11">
        <v>5</v>
      </c>
      <c r="BD120" s="146"/>
      <c r="BE120" s="144"/>
      <c r="BF120" s="145"/>
      <c r="BG120" s="26" t="s">
        <v>143</v>
      </c>
      <c r="BH120" s="11">
        <v>15</v>
      </c>
      <c r="BI120" s="146"/>
      <c r="BJ120" s="144"/>
      <c r="BK120" s="145"/>
      <c r="BL120" s="26" t="s">
        <v>143</v>
      </c>
      <c r="BM120" s="11">
        <v>30</v>
      </c>
      <c r="BN120" s="146"/>
      <c r="BO120" s="144"/>
      <c r="BP120" s="145"/>
    </row>
    <row r="121" spans="1:68" ht="40.5" customHeight="1" x14ac:dyDescent="0.35">
      <c r="A121" s="101"/>
      <c r="B121" s="135"/>
      <c r="C121" s="137"/>
      <c r="D121" s="135"/>
      <c r="E121" s="135"/>
      <c r="F121" s="76"/>
      <c r="G121" s="76"/>
      <c r="H121" s="143"/>
      <c r="I121" s="26" t="s">
        <v>144</v>
      </c>
      <c r="J121" s="11">
        <v>4</v>
      </c>
      <c r="K121" s="146"/>
      <c r="L121" s="144"/>
      <c r="M121" s="145"/>
      <c r="N121" s="26" t="s">
        <v>144</v>
      </c>
      <c r="O121" s="11">
        <v>2</v>
      </c>
      <c r="P121" s="146"/>
      <c r="Q121" s="144"/>
      <c r="R121" s="145"/>
      <c r="S121" s="26" t="s">
        <v>144</v>
      </c>
      <c r="T121" s="11">
        <v>2</v>
      </c>
      <c r="U121" s="146"/>
      <c r="V121" s="144"/>
      <c r="W121" s="145"/>
      <c r="X121" s="26" t="s">
        <v>144</v>
      </c>
      <c r="Y121" s="11">
        <v>2</v>
      </c>
      <c r="Z121" s="146"/>
      <c r="AA121" s="144"/>
      <c r="AB121" s="145"/>
      <c r="AC121" s="26" t="s">
        <v>144</v>
      </c>
      <c r="AD121" s="11">
        <v>2</v>
      </c>
      <c r="AE121" s="146"/>
      <c r="AF121" s="144"/>
      <c r="AG121" s="145"/>
      <c r="AH121" s="26" t="s">
        <v>144</v>
      </c>
      <c r="AI121" s="11">
        <v>2</v>
      </c>
      <c r="AJ121" s="146"/>
      <c r="AK121" s="144"/>
      <c r="AL121" s="145"/>
      <c r="AM121" s="26" t="s">
        <v>144</v>
      </c>
      <c r="AN121" s="11">
        <v>2</v>
      </c>
      <c r="AO121" s="146"/>
      <c r="AP121" s="144"/>
      <c r="AQ121" s="145"/>
      <c r="AR121" s="26" t="s">
        <v>144</v>
      </c>
      <c r="AS121" s="11">
        <v>2</v>
      </c>
      <c r="AT121" s="146"/>
      <c r="AU121" s="144"/>
      <c r="AV121" s="145"/>
      <c r="AW121" s="26" t="s">
        <v>144</v>
      </c>
      <c r="AX121" s="11">
        <v>2</v>
      </c>
      <c r="AY121" s="146"/>
      <c r="AZ121" s="144"/>
      <c r="BA121" s="145"/>
      <c r="BB121" s="26" t="s">
        <v>144</v>
      </c>
      <c r="BC121" s="11">
        <v>2</v>
      </c>
      <c r="BD121" s="146"/>
      <c r="BE121" s="144"/>
      <c r="BF121" s="145"/>
      <c r="BG121" s="26" t="s">
        <v>144</v>
      </c>
      <c r="BH121" s="11">
        <v>5</v>
      </c>
      <c r="BI121" s="146"/>
      <c r="BJ121" s="144"/>
      <c r="BK121" s="145"/>
      <c r="BL121" s="26" t="s">
        <v>144</v>
      </c>
      <c r="BM121" s="11">
        <v>5</v>
      </c>
      <c r="BN121" s="146"/>
      <c r="BO121" s="144"/>
      <c r="BP121" s="145"/>
    </row>
    <row r="122" spans="1:68" ht="40.5" customHeight="1" x14ac:dyDescent="0.35">
      <c r="A122" s="101"/>
      <c r="B122" s="135"/>
      <c r="C122" s="137"/>
      <c r="D122" s="135"/>
      <c r="E122" s="135"/>
      <c r="F122" s="76"/>
      <c r="G122" s="76"/>
      <c r="H122" s="143"/>
      <c r="I122" s="26" t="s">
        <v>145</v>
      </c>
      <c r="J122" s="11">
        <v>5</v>
      </c>
      <c r="K122" s="146"/>
      <c r="L122" s="144"/>
      <c r="M122" s="145"/>
      <c r="N122" s="26" t="s">
        <v>145</v>
      </c>
      <c r="O122" s="11">
        <v>2</v>
      </c>
      <c r="P122" s="146"/>
      <c r="Q122" s="144"/>
      <c r="R122" s="145"/>
      <c r="S122" s="26" t="s">
        <v>145</v>
      </c>
      <c r="T122" s="11">
        <v>2</v>
      </c>
      <c r="U122" s="146"/>
      <c r="V122" s="144"/>
      <c r="W122" s="145"/>
      <c r="X122" s="26" t="s">
        <v>145</v>
      </c>
      <c r="Y122" s="11">
        <v>3</v>
      </c>
      <c r="Z122" s="146"/>
      <c r="AA122" s="144"/>
      <c r="AB122" s="145"/>
      <c r="AC122" s="26" t="s">
        <v>145</v>
      </c>
      <c r="AD122" s="11">
        <v>2</v>
      </c>
      <c r="AE122" s="146"/>
      <c r="AF122" s="144"/>
      <c r="AG122" s="145"/>
      <c r="AH122" s="26" t="s">
        <v>145</v>
      </c>
      <c r="AI122" s="11">
        <v>2</v>
      </c>
      <c r="AJ122" s="146"/>
      <c r="AK122" s="144"/>
      <c r="AL122" s="145"/>
      <c r="AM122" s="26" t="s">
        <v>145</v>
      </c>
      <c r="AN122" s="11">
        <v>2</v>
      </c>
      <c r="AO122" s="146"/>
      <c r="AP122" s="144"/>
      <c r="AQ122" s="145"/>
      <c r="AR122" s="26" t="s">
        <v>145</v>
      </c>
      <c r="AS122" s="11">
        <v>2</v>
      </c>
      <c r="AT122" s="146"/>
      <c r="AU122" s="144"/>
      <c r="AV122" s="145"/>
      <c r="AW122" s="26" t="s">
        <v>145</v>
      </c>
      <c r="AX122" s="11">
        <v>2</v>
      </c>
      <c r="AY122" s="146"/>
      <c r="AZ122" s="144"/>
      <c r="BA122" s="145"/>
      <c r="BB122" s="26" t="s">
        <v>145</v>
      </c>
      <c r="BC122" s="11">
        <v>2</v>
      </c>
      <c r="BD122" s="146"/>
      <c r="BE122" s="144"/>
      <c r="BF122" s="145"/>
      <c r="BG122" s="26" t="s">
        <v>145</v>
      </c>
      <c r="BH122" s="11">
        <v>5</v>
      </c>
      <c r="BI122" s="146"/>
      <c r="BJ122" s="144"/>
      <c r="BK122" s="145"/>
      <c r="BL122" s="26" t="s">
        <v>145</v>
      </c>
      <c r="BM122" s="11">
        <v>5</v>
      </c>
      <c r="BN122" s="146"/>
      <c r="BO122" s="144"/>
      <c r="BP122" s="145"/>
    </row>
    <row r="123" spans="1:68" s="27" customFormat="1" ht="40.5" customHeight="1" x14ac:dyDescent="0.35">
      <c r="A123" s="101"/>
      <c r="B123" s="135"/>
      <c r="C123" s="137"/>
      <c r="D123" s="135"/>
      <c r="E123" s="135"/>
      <c r="F123" s="76"/>
      <c r="G123" s="76"/>
      <c r="H123" s="143"/>
      <c r="I123" s="26" t="s">
        <v>146</v>
      </c>
      <c r="J123" s="11">
        <v>30</v>
      </c>
      <c r="K123" s="146"/>
      <c r="L123" s="144"/>
      <c r="M123" s="145"/>
      <c r="N123" s="26" t="s">
        <v>146</v>
      </c>
      <c r="O123" s="11">
        <v>30</v>
      </c>
      <c r="P123" s="146"/>
      <c r="Q123" s="144"/>
      <c r="R123" s="145"/>
      <c r="S123" s="26" t="s">
        <v>146</v>
      </c>
      <c r="T123" s="11">
        <v>30</v>
      </c>
      <c r="U123" s="146"/>
      <c r="V123" s="144"/>
      <c r="W123" s="145"/>
      <c r="X123" s="26" t="s">
        <v>146</v>
      </c>
      <c r="Y123" s="11">
        <v>30</v>
      </c>
      <c r="Z123" s="146"/>
      <c r="AA123" s="144"/>
      <c r="AB123" s="145"/>
      <c r="AC123" s="26" t="s">
        <v>146</v>
      </c>
      <c r="AD123" s="11">
        <v>30</v>
      </c>
      <c r="AE123" s="146"/>
      <c r="AF123" s="144"/>
      <c r="AG123" s="145"/>
      <c r="AH123" s="26" t="s">
        <v>146</v>
      </c>
      <c r="AI123" s="11">
        <v>30</v>
      </c>
      <c r="AJ123" s="146"/>
      <c r="AK123" s="144"/>
      <c r="AL123" s="145"/>
      <c r="AM123" s="26" t="s">
        <v>146</v>
      </c>
      <c r="AN123" s="11">
        <v>30</v>
      </c>
      <c r="AO123" s="146"/>
      <c r="AP123" s="144"/>
      <c r="AQ123" s="145"/>
      <c r="AR123" s="26" t="s">
        <v>146</v>
      </c>
      <c r="AS123" s="11">
        <v>30</v>
      </c>
      <c r="AT123" s="146"/>
      <c r="AU123" s="144"/>
      <c r="AV123" s="145"/>
      <c r="AW123" s="26" t="s">
        <v>146</v>
      </c>
      <c r="AX123" s="11">
        <v>30</v>
      </c>
      <c r="AY123" s="146"/>
      <c r="AZ123" s="144"/>
      <c r="BA123" s="145"/>
      <c r="BB123" s="26" t="s">
        <v>146</v>
      </c>
      <c r="BC123" s="11">
        <v>30</v>
      </c>
      <c r="BD123" s="146"/>
      <c r="BE123" s="144"/>
      <c r="BF123" s="145"/>
      <c r="BG123" s="26" t="s">
        <v>146</v>
      </c>
      <c r="BH123" s="11">
        <v>30</v>
      </c>
      <c r="BI123" s="146"/>
      <c r="BJ123" s="144"/>
      <c r="BK123" s="145"/>
      <c r="BL123" s="26" t="s">
        <v>146</v>
      </c>
      <c r="BM123" s="11">
        <v>24</v>
      </c>
      <c r="BN123" s="146"/>
      <c r="BO123" s="144"/>
      <c r="BP123" s="145"/>
    </row>
    <row r="124" spans="1:68" s="27" customFormat="1" ht="40.5" customHeight="1" x14ac:dyDescent="0.35">
      <c r="A124" s="102"/>
      <c r="B124" s="83"/>
      <c r="C124" s="138"/>
      <c r="D124" s="83"/>
      <c r="E124" s="83"/>
      <c r="F124" s="76"/>
      <c r="G124" s="76"/>
      <c r="H124" s="143"/>
      <c r="I124" s="26" t="s">
        <v>147</v>
      </c>
      <c r="J124" s="11">
        <v>20</v>
      </c>
      <c r="K124" s="146"/>
      <c r="L124" s="144"/>
      <c r="M124" s="145"/>
      <c r="N124" s="26" t="s">
        <v>147</v>
      </c>
      <c r="O124" s="11">
        <v>20</v>
      </c>
      <c r="P124" s="146"/>
      <c r="Q124" s="144"/>
      <c r="R124" s="145"/>
      <c r="S124" s="26" t="s">
        <v>147</v>
      </c>
      <c r="T124" s="11">
        <v>20</v>
      </c>
      <c r="U124" s="146"/>
      <c r="V124" s="144"/>
      <c r="W124" s="145"/>
      <c r="X124" s="26" t="s">
        <v>147</v>
      </c>
      <c r="Y124" s="11">
        <v>20</v>
      </c>
      <c r="Z124" s="146"/>
      <c r="AA124" s="144"/>
      <c r="AB124" s="145"/>
      <c r="AC124" s="26" t="s">
        <v>147</v>
      </c>
      <c r="AD124" s="11">
        <v>20</v>
      </c>
      <c r="AE124" s="146"/>
      <c r="AF124" s="144"/>
      <c r="AG124" s="145"/>
      <c r="AH124" s="26" t="s">
        <v>147</v>
      </c>
      <c r="AI124" s="11">
        <v>30</v>
      </c>
      <c r="AJ124" s="146"/>
      <c r="AK124" s="144"/>
      <c r="AL124" s="145"/>
      <c r="AM124" s="26" t="s">
        <v>147</v>
      </c>
      <c r="AN124" s="11">
        <v>20</v>
      </c>
      <c r="AO124" s="146"/>
      <c r="AP124" s="144"/>
      <c r="AQ124" s="145"/>
      <c r="AR124" s="26" t="s">
        <v>147</v>
      </c>
      <c r="AS124" s="11">
        <v>20</v>
      </c>
      <c r="AT124" s="146"/>
      <c r="AU124" s="144"/>
      <c r="AV124" s="145"/>
      <c r="AW124" s="26" t="s">
        <v>147</v>
      </c>
      <c r="AX124" s="11">
        <v>20</v>
      </c>
      <c r="AY124" s="146"/>
      <c r="AZ124" s="144"/>
      <c r="BA124" s="145"/>
      <c r="BB124" s="26" t="s">
        <v>147</v>
      </c>
      <c r="BC124" s="11">
        <v>20</v>
      </c>
      <c r="BD124" s="146"/>
      <c r="BE124" s="144"/>
      <c r="BF124" s="145"/>
      <c r="BG124" s="26" t="s">
        <v>147</v>
      </c>
      <c r="BH124" s="11">
        <v>30</v>
      </c>
      <c r="BI124" s="146"/>
      <c r="BJ124" s="144"/>
      <c r="BK124" s="145"/>
      <c r="BL124" s="26" t="s">
        <v>147</v>
      </c>
      <c r="BM124" s="11">
        <v>40</v>
      </c>
      <c r="BN124" s="146"/>
      <c r="BO124" s="144"/>
      <c r="BP124" s="145"/>
    </row>
    <row r="153" spans="1:68" ht="14.5" customHeight="1" x14ac:dyDescent="0.35">
      <c r="A153" s="94" t="s">
        <v>309</v>
      </c>
      <c r="B153" s="94"/>
      <c r="C153" s="94"/>
      <c r="D153" s="94"/>
      <c r="E153" s="94"/>
      <c r="F153" s="94"/>
      <c r="G153" s="94"/>
      <c r="H153" s="94"/>
      <c r="I153" s="123" t="s">
        <v>33</v>
      </c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  <c r="BA153" s="124"/>
      <c r="BB153" s="124"/>
      <c r="BC153" s="124"/>
      <c r="BD153" s="124"/>
      <c r="BE153" s="124"/>
      <c r="BF153" s="124"/>
      <c r="BG153" s="124"/>
      <c r="BH153" s="124"/>
      <c r="BI153" s="124"/>
      <c r="BJ153" s="124"/>
      <c r="BK153" s="124"/>
      <c r="BL153" s="124"/>
      <c r="BM153" s="124"/>
      <c r="BN153" s="124"/>
      <c r="BO153" s="124"/>
      <c r="BP153" s="14"/>
    </row>
    <row r="154" spans="1:68" ht="14.5" customHeight="1" x14ac:dyDescent="0.35">
      <c r="A154" s="94"/>
      <c r="B154" s="94"/>
      <c r="C154" s="94"/>
      <c r="D154" s="94"/>
      <c r="E154" s="94"/>
      <c r="F154" s="94"/>
      <c r="G154" s="94"/>
      <c r="H154" s="94"/>
      <c r="I154" s="125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  <c r="BC154" s="126"/>
      <c r="BD154" s="126"/>
      <c r="BE154" s="126"/>
      <c r="BF154" s="126"/>
      <c r="BG154" s="126"/>
      <c r="BH154" s="126"/>
      <c r="BI154" s="126"/>
      <c r="BJ154" s="126"/>
      <c r="BK154" s="126"/>
      <c r="BL154" s="126"/>
      <c r="BM154" s="126"/>
      <c r="BN154" s="126"/>
      <c r="BO154" s="126"/>
      <c r="BP154" s="16"/>
    </row>
    <row r="155" spans="1:68" ht="21" x14ac:dyDescent="0.35">
      <c r="A155" s="4" t="s">
        <v>0</v>
      </c>
      <c r="B155" s="4" t="s">
        <v>1</v>
      </c>
      <c r="C155" s="4" t="s">
        <v>2</v>
      </c>
      <c r="D155" s="4" t="s">
        <v>3</v>
      </c>
      <c r="E155" s="4" t="s">
        <v>4</v>
      </c>
      <c r="F155" s="4" t="s">
        <v>5</v>
      </c>
      <c r="G155" s="4" t="s">
        <v>6</v>
      </c>
      <c r="H155" s="4" t="s">
        <v>20</v>
      </c>
      <c r="I155" s="97" t="s">
        <v>117</v>
      </c>
      <c r="J155" s="98"/>
      <c r="K155" s="4" t="s">
        <v>21</v>
      </c>
      <c r="L155" s="4" t="s">
        <v>119</v>
      </c>
      <c r="M155" s="4" t="s">
        <v>120</v>
      </c>
      <c r="N155" s="133" t="s">
        <v>117</v>
      </c>
      <c r="O155" s="134"/>
      <c r="P155" s="8" t="s">
        <v>22</v>
      </c>
      <c r="Q155" s="8" t="s">
        <v>119</v>
      </c>
      <c r="R155" s="8" t="s">
        <v>120</v>
      </c>
      <c r="S155" s="97" t="s">
        <v>117</v>
      </c>
      <c r="T155" s="98"/>
      <c r="U155" s="4" t="s">
        <v>23</v>
      </c>
      <c r="V155" s="4" t="s">
        <v>119</v>
      </c>
      <c r="W155" s="4" t="s">
        <v>120</v>
      </c>
      <c r="X155" s="133" t="s">
        <v>117</v>
      </c>
      <c r="Y155" s="134"/>
      <c r="Z155" s="8" t="s">
        <v>24</v>
      </c>
      <c r="AA155" s="8" t="s">
        <v>119</v>
      </c>
      <c r="AB155" s="8" t="s">
        <v>120</v>
      </c>
      <c r="AC155" s="97" t="s">
        <v>117</v>
      </c>
      <c r="AD155" s="98"/>
      <c r="AE155" s="4" t="s">
        <v>25</v>
      </c>
      <c r="AF155" s="4" t="s">
        <v>119</v>
      </c>
      <c r="AG155" s="4" t="s">
        <v>120</v>
      </c>
      <c r="AH155" s="133" t="s">
        <v>117</v>
      </c>
      <c r="AI155" s="134"/>
      <c r="AJ155" s="8" t="s">
        <v>26</v>
      </c>
      <c r="AK155" s="8" t="s">
        <v>119</v>
      </c>
      <c r="AL155" s="8" t="s">
        <v>120</v>
      </c>
      <c r="AM155" s="97" t="s">
        <v>117</v>
      </c>
      <c r="AN155" s="98"/>
      <c r="AO155" s="4" t="s">
        <v>27</v>
      </c>
      <c r="AP155" s="4" t="s">
        <v>119</v>
      </c>
      <c r="AQ155" s="4" t="s">
        <v>120</v>
      </c>
      <c r="AR155" s="133" t="s">
        <v>117</v>
      </c>
      <c r="AS155" s="134"/>
      <c r="AT155" s="8" t="s">
        <v>28</v>
      </c>
      <c r="AU155" s="8" t="s">
        <v>119</v>
      </c>
      <c r="AV155" s="8" t="s">
        <v>120</v>
      </c>
      <c r="AW155" s="97" t="s">
        <v>117</v>
      </c>
      <c r="AX155" s="98"/>
      <c r="AY155" s="4" t="s">
        <v>29</v>
      </c>
      <c r="AZ155" s="4" t="s">
        <v>119</v>
      </c>
      <c r="BA155" s="4" t="s">
        <v>120</v>
      </c>
      <c r="BB155" s="133" t="s">
        <v>117</v>
      </c>
      <c r="BC155" s="134"/>
      <c r="BD155" s="8" t="s">
        <v>30</v>
      </c>
      <c r="BE155" s="8" t="s">
        <v>119</v>
      </c>
      <c r="BF155" s="8" t="s">
        <v>120</v>
      </c>
      <c r="BG155" s="97" t="s">
        <v>117</v>
      </c>
      <c r="BH155" s="98"/>
      <c r="BI155" s="4" t="s">
        <v>31</v>
      </c>
      <c r="BJ155" s="4" t="s">
        <v>119</v>
      </c>
      <c r="BK155" s="4" t="s">
        <v>120</v>
      </c>
      <c r="BL155" s="133" t="s">
        <v>117</v>
      </c>
      <c r="BM155" s="134"/>
      <c r="BN155" s="8" t="s">
        <v>32</v>
      </c>
      <c r="BO155" s="8" t="s">
        <v>119</v>
      </c>
      <c r="BP155" s="8" t="s">
        <v>120</v>
      </c>
    </row>
    <row r="156" spans="1:68" ht="50.25" customHeight="1" x14ac:dyDescent="0.35">
      <c r="A156" s="100" t="s">
        <v>85</v>
      </c>
      <c r="B156" s="82" t="s">
        <v>86</v>
      </c>
      <c r="C156" s="136" t="s">
        <v>148</v>
      </c>
      <c r="D156" s="82" t="s">
        <v>89</v>
      </c>
      <c r="E156" s="82" t="s">
        <v>92</v>
      </c>
      <c r="F156" s="82" t="s">
        <v>13</v>
      </c>
      <c r="G156" s="82" t="s">
        <v>61</v>
      </c>
      <c r="H156" s="139" t="s">
        <v>56</v>
      </c>
      <c r="I156" s="12" t="s">
        <v>149</v>
      </c>
      <c r="J156" s="11">
        <v>10</v>
      </c>
      <c r="K156" s="144">
        <f>(J156/J157)*100</f>
        <v>25</v>
      </c>
      <c r="L156" s="144" t="s">
        <v>121</v>
      </c>
      <c r="M156" s="145" t="s">
        <v>150</v>
      </c>
      <c r="N156" s="12" t="s">
        <v>149</v>
      </c>
      <c r="O156" s="11">
        <v>10</v>
      </c>
      <c r="P156" s="144">
        <f>(O156/O157)*100</f>
        <v>50</v>
      </c>
      <c r="Q156" s="144"/>
      <c r="R156" s="145"/>
      <c r="S156" s="12" t="s">
        <v>149</v>
      </c>
      <c r="T156" s="11">
        <v>15</v>
      </c>
      <c r="U156" s="144">
        <f>(T156/T157)*100</f>
        <v>37.5</v>
      </c>
      <c r="V156" s="144"/>
      <c r="W156" s="145"/>
      <c r="X156" s="12" t="s">
        <v>149</v>
      </c>
      <c r="Y156" s="11">
        <v>20</v>
      </c>
      <c r="Z156" s="144">
        <f>(Y156/Y157)*100</f>
        <v>50</v>
      </c>
      <c r="AA156" s="144"/>
      <c r="AB156" s="145"/>
      <c r="AC156" s="12" t="s">
        <v>149</v>
      </c>
      <c r="AD156" s="11">
        <v>8</v>
      </c>
      <c r="AE156" s="144">
        <f>(AD156/AD157)*100</f>
        <v>20</v>
      </c>
      <c r="AF156" s="144"/>
      <c r="AG156" s="145"/>
      <c r="AH156" s="12" t="s">
        <v>149</v>
      </c>
      <c r="AI156" s="11">
        <v>2</v>
      </c>
      <c r="AJ156" s="144">
        <f>(AI156/AI157)*100</f>
        <v>5</v>
      </c>
      <c r="AK156" s="144"/>
      <c r="AL156" s="145"/>
      <c r="AM156" s="12" t="s">
        <v>149</v>
      </c>
      <c r="AN156" s="11">
        <v>1</v>
      </c>
      <c r="AO156" s="144">
        <f>(AN156/AN157)*100</f>
        <v>2.5</v>
      </c>
      <c r="AP156" s="144"/>
      <c r="AQ156" s="145"/>
      <c r="AR156" s="12" t="s">
        <v>149</v>
      </c>
      <c r="AS156" s="11">
        <v>5</v>
      </c>
      <c r="AT156" s="144">
        <f>(AS156/AS157)*100</f>
        <v>12.5</v>
      </c>
      <c r="AU156" s="144"/>
      <c r="AV156" s="145"/>
      <c r="AW156" s="12" t="s">
        <v>149</v>
      </c>
      <c r="AX156" s="11">
        <v>4</v>
      </c>
      <c r="AY156" s="144">
        <f>(AX156/AX157)*100</f>
        <v>10</v>
      </c>
      <c r="AZ156" s="144"/>
      <c r="BA156" s="145"/>
      <c r="BB156" s="12" t="s">
        <v>149</v>
      </c>
      <c r="BC156" s="11">
        <v>1</v>
      </c>
      <c r="BD156" s="144">
        <f>(BC156/BC157)*100</f>
        <v>2.5</v>
      </c>
      <c r="BE156" s="144"/>
      <c r="BF156" s="145"/>
      <c r="BG156" s="12" t="s">
        <v>149</v>
      </c>
      <c r="BH156" s="11">
        <v>5</v>
      </c>
      <c r="BI156" s="144">
        <f>(BH156/BH157)*100</f>
        <v>16.666666666666664</v>
      </c>
      <c r="BJ156" s="144"/>
      <c r="BK156" s="145"/>
      <c r="BL156" s="12" t="s">
        <v>149</v>
      </c>
      <c r="BM156" s="11">
        <v>1</v>
      </c>
      <c r="BN156" s="144">
        <f>(BM156/BM157)*100</f>
        <v>2.5</v>
      </c>
      <c r="BO156" s="144"/>
      <c r="BP156" s="145"/>
    </row>
    <row r="157" spans="1:68" ht="50.25" customHeight="1" x14ac:dyDescent="0.35">
      <c r="A157" s="102"/>
      <c r="B157" s="83"/>
      <c r="C157" s="138"/>
      <c r="D157" s="83"/>
      <c r="E157" s="83"/>
      <c r="F157" s="83"/>
      <c r="G157" s="83"/>
      <c r="H157" s="141"/>
      <c r="I157" s="12" t="s">
        <v>147</v>
      </c>
      <c r="J157" s="11">
        <v>40</v>
      </c>
      <c r="K157" s="144"/>
      <c r="L157" s="144"/>
      <c r="M157" s="145"/>
      <c r="N157" s="12" t="s">
        <v>147</v>
      </c>
      <c r="O157" s="11">
        <v>20</v>
      </c>
      <c r="P157" s="144"/>
      <c r="Q157" s="144"/>
      <c r="R157" s="145"/>
      <c r="S157" s="12" t="s">
        <v>147</v>
      </c>
      <c r="T157" s="11">
        <v>40</v>
      </c>
      <c r="U157" s="144"/>
      <c r="V157" s="144"/>
      <c r="W157" s="145"/>
      <c r="X157" s="12" t="s">
        <v>147</v>
      </c>
      <c r="Y157" s="11">
        <v>40</v>
      </c>
      <c r="Z157" s="144"/>
      <c r="AA157" s="144"/>
      <c r="AB157" s="145"/>
      <c r="AC157" s="12" t="s">
        <v>147</v>
      </c>
      <c r="AD157" s="11">
        <v>40</v>
      </c>
      <c r="AE157" s="144"/>
      <c r="AF157" s="144"/>
      <c r="AG157" s="145"/>
      <c r="AH157" s="12" t="s">
        <v>147</v>
      </c>
      <c r="AI157" s="11">
        <v>40</v>
      </c>
      <c r="AJ157" s="144"/>
      <c r="AK157" s="144"/>
      <c r="AL157" s="145"/>
      <c r="AM157" s="12" t="s">
        <v>147</v>
      </c>
      <c r="AN157" s="11">
        <v>40</v>
      </c>
      <c r="AO157" s="144"/>
      <c r="AP157" s="144"/>
      <c r="AQ157" s="145"/>
      <c r="AR157" s="12" t="s">
        <v>147</v>
      </c>
      <c r="AS157" s="11">
        <v>40</v>
      </c>
      <c r="AT157" s="144"/>
      <c r="AU157" s="144"/>
      <c r="AV157" s="145"/>
      <c r="AW157" s="12" t="s">
        <v>147</v>
      </c>
      <c r="AX157" s="11">
        <v>40</v>
      </c>
      <c r="AY157" s="144"/>
      <c r="AZ157" s="144"/>
      <c r="BA157" s="145"/>
      <c r="BB157" s="12" t="s">
        <v>147</v>
      </c>
      <c r="BC157" s="11">
        <v>40</v>
      </c>
      <c r="BD157" s="144"/>
      <c r="BE157" s="144"/>
      <c r="BF157" s="145"/>
      <c r="BG157" s="12" t="s">
        <v>147</v>
      </c>
      <c r="BH157" s="11">
        <v>30</v>
      </c>
      <c r="BI157" s="144"/>
      <c r="BJ157" s="144"/>
      <c r="BK157" s="145"/>
      <c r="BL157" s="12" t="s">
        <v>147</v>
      </c>
      <c r="BM157" s="11">
        <v>40</v>
      </c>
      <c r="BN157" s="144"/>
      <c r="BO157" s="144"/>
      <c r="BP157" s="145"/>
    </row>
    <row r="181" spans="1:68" ht="14.5" customHeight="1" x14ac:dyDescent="0.35">
      <c r="A181" s="94" t="s">
        <v>309</v>
      </c>
      <c r="B181" s="94"/>
      <c r="C181" s="94"/>
      <c r="D181" s="94"/>
      <c r="E181" s="94"/>
      <c r="F181" s="94"/>
      <c r="G181" s="94"/>
      <c r="H181" s="94"/>
      <c r="I181" s="123" t="s">
        <v>33</v>
      </c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  <c r="BA181" s="124"/>
      <c r="BB181" s="124"/>
      <c r="BC181" s="124"/>
      <c r="BD181" s="124"/>
      <c r="BE181" s="124"/>
      <c r="BF181" s="124"/>
      <c r="BG181" s="124"/>
      <c r="BH181" s="124"/>
      <c r="BI181" s="124"/>
      <c r="BJ181" s="124"/>
      <c r="BK181" s="124"/>
      <c r="BL181" s="124"/>
      <c r="BM181" s="124"/>
      <c r="BN181" s="124"/>
      <c r="BO181" s="124"/>
      <c r="BP181" s="124"/>
    </row>
    <row r="182" spans="1:68" ht="14.5" customHeight="1" x14ac:dyDescent="0.35">
      <c r="A182" s="94"/>
      <c r="B182" s="94"/>
      <c r="C182" s="94"/>
      <c r="D182" s="94"/>
      <c r="E182" s="94"/>
      <c r="F182" s="94"/>
      <c r="G182" s="94"/>
      <c r="H182" s="94"/>
      <c r="I182" s="125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  <c r="AW182" s="126"/>
      <c r="AX182" s="126"/>
      <c r="AY182" s="126"/>
      <c r="AZ182" s="126"/>
      <c r="BA182" s="126"/>
      <c r="BB182" s="126"/>
      <c r="BC182" s="126"/>
      <c r="BD182" s="126"/>
      <c r="BE182" s="126"/>
      <c r="BF182" s="126"/>
      <c r="BG182" s="126"/>
      <c r="BH182" s="126"/>
      <c r="BI182" s="126"/>
      <c r="BJ182" s="126"/>
      <c r="BK182" s="126"/>
      <c r="BL182" s="126"/>
      <c r="BM182" s="126"/>
      <c r="BN182" s="126"/>
      <c r="BO182" s="126"/>
      <c r="BP182" s="126"/>
    </row>
    <row r="183" spans="1:68" ht="21" x14ac:dyDescent="0.35">
      <c r="A183" s="4" t="s">
        <v>0</v>
      </c>
      <c r="B183" s="4" t="s">
        <v>1</v>
      </c>
      <c r="C183" s="4" t="s">
        <v>2</v>
      </c>
      <c r="D183" s="4" t="s">
        <v>3</v>
      </c>
      <c r="E183" s="4" t="s">
        <v>4</v>
      </c>
      <c r="F183" s="4" t="s">
        <v>5</v>
      </c>
      <c r="G183" s="4" t="s">
        <v>6</v>
      </c>
      <c r="H183" s="4" t="s">
        <v>20</v>
      </c>
      <c r="I183" s="97" t="s">
        <v>117</v>
      </c>
      <c r="J183" s="98"/>
      <c r="K183" s="4" t="s">
        <v>21</v>
      </c>
      <c r="L183" s="4" t="s">
        <v>119</v>
      </c>
      <c r="M183" s="4" t="s">
        <v>120</v>
      </c>
      <c r="N183" s="133" t="s">
        <v>117</v>
      </c>
      <c r="O183" s="134"/>
      <c r="P183" s="8" t="s">
        <v>22</v>
      </c>
      <c r="Q183" s="8" t="s">
        <v>119</v>
      </c>
      <c r="R183" s="8" t="s">
        <v>120</v>
      </c>
      <c r="S183" s="97" t="s">
        <v>117</v>
      </c>
      <c r="T183" s="98"/>
      <c r="U183" s="4" t="s">
        <v>23</v>
      </c>
      <c r="V183" s="4" t="s">
        <v>119</v>
      </c>
      <c r="W183" s="4" t="s">
        <v>120</v>
      </c>
      <c r="X183" s="133" t="s">
        <v>117</v>
      </c>
      <c r="Y183" s="134"/>
      <c r="Z183" s="8" t="s">
        <v>24</v>
      </c>
      <c r="AA183" s="8" t="s">
        <v>119</v>
      </c>
      <c r="AB183" s="8" t="s">
        <v>120</v>
      </c>
      <c r="AC183" s="97" t="s">
        <v>117</v>
      </c>
      <c r="AD183" s="98"/>
      <c r="AE183" s="4" t="s">
        <v>25</v>
      </c>
      <c r="AF183" s="4" t="s">
        <v>119</v>
      </c>
      <c r="AG183" s="4" t="s">
        <v>120</v>
      </c>
      <c r="AH183" s="133" t="s">
        <v>117</v>
      </c>
      <c r="AI183" s="134"/>
      <c r="AJ183" s="8" t="s">
        <v>26</v>
      </c>
      <c r="AK183" s="8" t="s">
        <v>119</v>
      </c>
      <c r="AL183" s="8" t="s">
        <v>120</v>
      </c>
      <c r="AM183" s="97" t="s">
        <v>117</v>
      </c>
      <c r="AN183" s="98"/>
      <c r="AO183" s="4" t="s">
        <v>27</v>
      </c>
      <c r="AP183" s="4" t="s">
        <v>119</v>
      </c>
      <c r="AQ183" s="4" t="s">
        <v>120</v>
      </c>
      <c r="AR183" s="133" t="s">
        <v>117</v>
      </c>
      <c r="AS183" s="134"/>
      <c r="AT183" s="8" t="s">
        <v>28</v>
      </c>
      <c r="AU183" s="8" t="s">
        <v>119</v>
      </c>
      <c r="AV183" s="8" t="s">
        <v>120</v>
      </c>
      <c r="AW183" s="97" t="s">
        <v>117</v>
      </c>
      <c r="AX183" s="98"/>
      <c r="AY183" s="4" t="s">
        <v>29</v>
      </c>
      <c r="AZ183" s="4" t="s">
        <v>119</v>
      </c>
      <c r="BA183" s="4" t="s">
        <v>120</v>
      </c>
      <c r="BB183" s="133" t="s">
        <v>117</v>
      </c>
      <c r="BC183" s="134"/>
      <c r="BD183" s="8" t="s">
        <v>30</v>
      </c>
      <c r="BE183" s="8" t="s">
        <v>119</v>
      </c>
      <c r="BF183" s="8" t="s">
        <v>120</v>
      </c>
      <c r="BG183" s="97" t="s">
        <v>117</v>
      </c>
      <c r="BH183" s="98"/>
      <c r="BI183" s="4" t="s">
        <v>31</v>
      </c>
      <c r="BJ183" s="4" t="s">
        <v>119</v>
      </c>
      <c r="BK183" s="4" t="s">
        <v>120</v>
      </c>
      <c r="BL183" s="133" t="s">
        <v>117</v>
      </c>
      <c r="BM183" s="134"/>
      <c r="BN183" s="8" t="s">
        <v>32</v>
      </c>
      <c r="BO183" s="8" t="s">
        <v>119</v>
      </c>
      <c r="BP183" s="8" t="s">
        <v>120</v>
      </c>
    </row>
    <row r="184" spans="1:68" ht="46.5" customHeight="1" x14ac:dyDescent="0.35">
      <c r="A184" s="73" t="s">
        <v>85</v>
      </c>
      <c r="B184" s="76" t="s">
        <v>87</v>
      </c>
      <c r="C184" s="142">
        <v>5</v>
      </c>
      <c r="D184" s="76" t="s">
        <v>90</v>
      </c>
      <c r="E184" s="76" t="s">
        <v>93</v>
      </c>
      <c r="F184" s="76" t="s">
        <v>13</v>
      </c>
      <c r="G184" s="76" t="s">
        <v>61</v>
      </c>
      <c r="H184" s="143" t="s">
        <v>108</v>
      </c>
      <c r="I184" s="26" t="s">
        <v>151</v>
      </c>
      <c r="J184" s="11">
        <v>10</v>
      </c>
      <c r="K184" s="127">
        <f>(J184+(J185*J186))/J187*100</f>
        <v>3025</v>
      </c>
      <c r="L184" s="127" t="s">
        <v>121</v>
      </c>
      <c r="M184" s="130" t="s">
        <v>152</v>
      </c>
      <c r="N184" s="26" t="s">
        <v>151</v>
      </c>
      <c r="O184" s="11"/>
      <c r="P184" s="127">
        <f>(O184+(O185*O186))/O187*100</f>
        <v>0</v>
      </c>
      <c r="Q184" s="127"/>
      <c r="R184" s="130"/>
      <c r="S184" s="26" t="s">
        <v>151</v>
      </c>
      <c r="T184" s="11"/>
      <c r="U184" s="127">
        <f>(T184+(T185*T186))/T187*100</f>
        <v>0</v>
      </c>
      <c r="V184" s="127"/>
      <c r="W184" s="130"/>
      <c r="X184" s="26" t="s">
        <v>151</v>
      </c>
      <c r="Y184" s="11"/>
      <c r="Z184" s="127">
        <f>(Y184+(Y185*Y186))/Y187*100</f>
        <v>0</v>
      </c>
      <c r="AA184" s="127"/>
      <c r="AB184" s="130"/>
      <c r="AC184" s="26" t="s">
        <v>151</v>
      </c>
      <c r="AD184" s="11"/>
      <c r="AE184" s="127">
        <f>(AD184+(AD185*AD186))/AD187*100</f>
        <v>0</v>
      </c>
      <c r="AF184" s="127"/>
      <c r="AG184" s="130"/>
      <c r="AH184" s="26" t="s">
        <v>151</v>
      </c>
      <c r="AI184" s="11"/>
      <c r="AJ184" s="127">
        <f>(AI184+(AI185*AI186))/AI187*100</f>
        <v>0</v>
      </c>
      <c r="AK184" s="127"/>
      <c r="AL184" s="130"/>
      <c r="AM184" s="26" t="s">
        <v>151</v>
      </c>
      <c r="AN184" s="11"/>
      <c r="AO184" s="127">
        <f>(AN184+(AN185*AN186))/AN187*100</f>
        <v>0</v>
      </c>
      <c r="AP184" s="127"/>
      <c r="AQ184" s="130"/>
      <c r="AR184" s="26" t="s">
        <v>151</v>
      </c>
      <c r="AS184" s="11"/>
      <c r="AT184" s="127">
        <f>(AS184+(AS185*AS186))/AS187*100</f>
        <v>0</v>
      </c>
      <c r="AU184" s="127"/>
      <c r="AV184" s="130"/>
      <c r="AW184" s="26" t="s">
        <v>151</v>
      </c>
      <c r="AX184" s="11"/>
      <c r="AY184" s="127">
        <f>(AX184+(AX185*AX186))/AX187*100</f>
        <v>0</v>
      </c>
      <c r="AZ184" s="127"/>
      <c r="BA184" s="130"/>
      <c r="BB184" s="26" t="s">
        <v>151</v>
      </c>
      <c r="BC184" s="11">
        <v>20</v>
      </c>
      <c r="BD184" s="127">
        <f>(BC184+(BC185*BC186))/BC187*100</f>
        <v>6050</v>
      </c>
      <c r="BE184" s="127"/>
      <c r="BF184" s="130"/>
      <c r="BG184" s="26" t="s">
        <v>151</v>
      </c>
      <c r="BH184" s="11"/>
      <c r="BI184" s="127">
        <f>(BH184+(BH185*BH186))/BH187*100</f>
        <v>0</v>
      </c>
      <c r="BJ184" s="127"/>
      <c r="BK184" s="130"/>
      <c r="BL184" s="26" t="s">
        <v>151</v>
      </c>
      <c r="BM184" s="11"/>
      <c r="BN184" s="127">
        <f>(BM184+(BM185*BM186))/BM187*100</f>
        <v>0</v>
      </c>
      <c r="BO184" s="127"/>
      <c r="BP184" s="130"/>
    </row>
    <row r="185" spans="1:68" ht="46.5" customHeight="1" x14ac:dyDescent="0.35">
      <c r="A185" s="73"/>
      <c r="B185" s="76"/>
      <c r="C185" s="142"/>
      <c r="D185" s="76"/>
      <c r="E185" s="76"/>
      <c r="F185" s="76"/>
      <c r="G185" s="76"/>
      <c r="H185" s="143"/>
      <c r="I185" s="28" t="s">
        <v>153</v>
      </c>
      <c r="J185" s="29">
        <v>6000</v>
      </c>
      <c r="K185" s="128"/>
      <c r="L185" s="128"/>
      <c r="M185" s="131"/>
      <c r="N185" s="28" t="s">
        <v>153</v>
      </c>
      <c r="O185" s="29">
        <v>6000</v>
      </c>
      <c r="P185" s="128"/>
      <c r="Q185" s="128"/>
      <c r="R185" s="131"/>
      <c r="S185" s="28" t="s">
        <v>153</v>
      </c>
      <c r="T185" s="29">
        <v>6000</v>
      </c>
      <c r="U185" s="128"/>
      <c r="V185" s="128"/>
      <c r="W185" s="131"/>
      <c r="X185" s="28" t="s">
        <v>153</v>
      </c>
      <c r="Y185" s="29">
        <v>6000</v>
      </c>
      <c r="Z185" s="128"/>
      <c r="AA185" s="128"/>
      <c r="AB185" s="131"/>
      <c r="AC185" s="28" t="s">
        <v>153</v>
      </c>
      <c r="AD185" s="29">
        <v>6000</v>
      </c>
      <c r="AE185" s="128"/>
      <c r="AF185" s="128"/>
      <c r="AG185" s="131"/>
      <c r="AH185" s="28" t="s">
        <v>153</v>
      </c>
      <c r="AI185" s="29">
        <v>6000</v>
      </c>
      <c r="AJ185" s="128"/>
      <c r="AK185" s="128"/>
      <c r="AL185" s="131"/>
      <c r="AM185" s="28" t="s">
        <v>153</v>
      </c>
      <c r="AN185" s="29">
        <v>6000</v>
      </c>
      <c r="AO185" s="128"/>
      <c r="AP185" s="128"/>
      <c r="AQ185" s="131"/>
      <c r="AR185" s="28" t="s">
        <v>153</v>
      </c>
      <c r="AS185" s="29">
        <v>6000</v>
      </c>
      <c r="AT185" s="128"/>
      <c r="AU185" s="128"/>
      <c r="AV185" s="131"/>
      <c r="AW185" s="28" t="s">
        <v>153</v>
      </c>
      <c r="AX185" s="29">
        <v>6000</v>
      </c>
      <c r="AY185" s="128"/>
      <c r="AZ185" s="128"/>
      <c r="BA185" s="131"/>
      <c r="BB185" s="28" t="s">
        <v>153</v>
      </c>
      <c r="BC185" s="29">
        <v>6000</v>
      </c>
      <c r="BD185" s="128"/>
      <c r="BE185" s="128"/>
      <c r="BF185" s="131"/>
      <c r="BG185" s="28" t="s">
        <v>153</v>
      </c>
      <c r="BH185" s="29">
        <v>6000</v>
      </c>
      <c r="BI185" s="128"/>
      <c r="BJ185" s="128"/>
      <c r="BK185" s="131"/>
      <c r="BL185" s="28" t="s">
        <v>153</v>
      </c>
      <c r="BM185" s="29">
        <v>6000</v>
      </c>
      <c r="BN185" s="128"/>
      <c r="BO185" s="128"/>
      <c r="BP185" s="131"/>
    </row>
    <row r="186" spans="1:68" ht="46.5" customHeight="1" x14ac:dyDescent="0.35">
      <c r="A186" s="73"/>
      <c r="B186" s="76"/>
      <c r="C186" s="142"/>
      <c r="D186" s="76"/>
      <c r="E186" s="76"/>
      <c r="F186" s="76"/>
      <c r="G186" s="76"/>
      <c r="H186" s="143"/>
      <c r="I186" s="28" t="s">
        <v>154</v>
      </c>
      <c r="J186" s="30">
        <v>0.2</v>
      </c>
      <c r="K186" s="128"/>
      <c r="L186" s="128"/>
      <c r="M186" s="131"/>
      <c r="N186" s="28" t="s">
        <v>154</v>
      </c>
      <c r="O186" s="30"/>
      <c r="P186" s="128"/>
      <c r="Q186" s="128"/>
      <c r="R186" s="131"/>
      <c r="S186" s="28" t="s">
        <v>154</v>
      </c>
      <c r="T186" s="30"/>
      <c r="U186" s="128"/>
      <c r="V186" s="128"/>
      <c r="W186" s="131"/>
      <c r="X186" s="28" t="s">
        <v>154</v>
      </c>
      <c r="Y186" s="30"/>
      <c r="Z186" s="128"/>
      <c r="AA186" s="128"/>
      <c r="AB186" s="131"/>
      <c r="AC186" s="28" t="s">
        <v>154</v>
      </c>
      <c r="AD186" s="30"/>
      <c r="AE186" s="128"/>
      <c r="AF186" s="128"/>
      <c r="AG186" s="131"/>
      <c r="AH186" s="28" t="s">
        <v>154</v>
      </c>
      <c r="AI186" s="30"/>
      <c r="AJ186" s="128"/>
      <c r="AK186" s="128"/>
      <c r="AL186" s="131"/>
      <c r="AM186" s="28" t="s">
        <v>154</v>
      </c>
      <c r="AN186" s="30"/>
      <c r="AO186" s="128"/>
      <c r="AP186" s="128"/>
      <c r="AQ186" s="131"/>
      <c r="AR186" s="28" t="s">
        <v>154</v>
      </c>
      <c r="AS186" s="30"/>
      <c r="AT186" s="128"/>
      <c r="AU186" s="128"/>
      <c r="AV186" s="131"/>
      <c r="AW186" s="28" t="s">
        <v>154</v>
      </c>
      <c r="AX186" s="30"/>
      <c r="AY186" s="128"/>
      <c r="AZ186" s="128"/>
      <c r="BA186" s="131"/>
      <c r="BB186" s="28" t="s">
        <v>154</v>
      </c>
      <c r="BC186" s="30">
        <v>0.4</v>
      </c>
      <c r="BD186" s="128"/>
      <c r="BE186" s="128"/>
      <c r="BF186" s="131"/>
      <c r="BG186" s="28" t="s">
        <v>154</v>
      </c>
      <c r="BH186" s="30"/>
      <c r="BI186" s="128"/>
      <c r="BJ186" s="128"/>
      <c r="BK186" s="131"/>
      <c r="BL186" s="28" t="s">
        <v>154</v>
      </c>
      <c r="BM186" s="30"/>
      <c r="BN186" s="128"/>
      <c r="BO186" s="128"/>
      <c r="BP186" s="131"/>
    </row>
    <row r="187" spans="1:68" ht="46.5" customHeight="1" x14ac:dyDescent="0.35">
      <c r="A187" s="73"/>
      <c r="B187" s="76"/>
      <c r="C187" s="142"/>
      <c r="D187" s="76"/>
      <c r="E187" s="76"/>
      <c r="F187" s="76"/>
      <c r="G187" s="76"/>
      <c r="H187" s="143"/>
      <c r="I187" s="28" t="s">
        <v>155</v>
      </c>
      <c r="J187" s="29">
        <v>40</v>
      </c>
      <c r="K187" s="129"/>
      <c r="L187" s="129"/>
      <c r="M187" s="132"/>
      <c r="N187" s="28" t="s">
        <v>155</v>
      </c>
      <c r="O187" s="29">
        <v>40</v>
      </c>
      <c r="P187" s="129"/>
      <c r="Q187" s="129"/>
      <c r="R187" s="132"/>
      <c r="S187" s="28" t="s">
        <v>155</v>
      </c>
      <c r="T187" s="29">
        <v>40</v>
      </c>
      <c r="U187" s="129"/>
      <c r="V187" s="129"/>
      <c r="W187" s="132"/>
      <c r="X187" s="28" t="s">
        <v>155</v>
      </c>
      <c r="Y187" s="29">
        <v>40</v>
      </c>
      <c r="Z187" s="129"/>
      <c r="AA187" s="129"/>
      <c r="AB187" s="132"/>
      <c r="AC187" s="28" t="s">
        <v>155</v>
      </c>
      <c r="AD187" s="29">
        <v>40</v>
      </c>
      <c r="AE187" s="129"/>
      <c r="AF187" s="129"/>
      <c r="AG187" s="132"/>
      <c r="AH187" s="28" t="s">
        <v>155</v>
      </c>
      <c r="AI187" s="29">
        <v>40</v>
      </c>
      <c r="AJ187" s="129"/>
      <c r="AK187" s="129"/>
      <c r="AL187" s="132"/>
      <c r="AM187" s="28" t="s">
        <v>155</v>
      </c>
      <c r="AN187" s="29">
        <v>40</v>
      </c>
      <c r="AO187" s="129"/>
      <c r="AP187" s="129"/>
      <c r="AQ187" s="132"/>
      <c r="AR187" s="28" t="s">
        <v>155</v>
      </c>
      <c r="AS187" s="29">
        <v>40</v>
      </c>
      <c r="AT187" s="129"/>
      <c r="AU187" s="129"/>
      <c r="AV187" s="132"/>
      <c r="AW187" s="28" t="s">
        <v>155</v>
      </c>
      <c r="AX187" s="29">
        <v>40</v>
      </c>
      <c r="AY187" s="129"/>
      <c r="AZ187" s="129"/>
      <c r="BA187" s="132"/>
      <c r="BB187" s="28" t="s">
        <v>155</v>
      </c>
      <c r="BC187" s="29">
        <v>40</v>
      </c>
      <c r="BD187" s="129"/>
      <c r="BE187" s="129"/>
      <c r="BF187" s="132"/>
      <c r="BG187" s="28" t="s">
        <v>155</v>
      </c>
      <c r="BH187" s="29">
        <v>40</v>
      </c>
      <c r="BI187" s="129"/>
      <c r="BJ187" s="129"/>
      <c r="BK187" s="132"/>
      <c r="BL187" s="28" t="s">
        <v>155</v>
      </c>
      <c r="BM187" s="29">
        <v>40</v>
      </c>
      <c r="BN187" s="129"/>
      <c r="BO187" s="129"/>
      <c r="BP187" s="132"/>
    </row>
    <row r="214" spans="1:68" ht="14.5" customHeight="1" x14ac:dyDescent="0.35">
      <c r="A214" s="94" t="s">
        <v>309</v>
      </c>
      <c r="B214" s="94"/>
      <c r="C214" s="94"/>
      <c r="D214" s="94"/>
      <c r="E214" s="94"/>
      <c r="F214" s="94"/>
      <c r="G214" s="94"/>
      <c r="H214" s="94"/>
      <c r="I214" s="123" t="s">
        <v>33</v>
      </c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  <c r="AI214" s="124"/>
      <c r="AJ214" s="124"/>
      <c r="AK214" s="124"/>
      <c r="AL214" s="124"/>
      <c r="AM214" s="124"/>
      <c r="AN214" s="124"/>
      <c r="AO214" s="124"/>
      <c r="AP214" s="124"/>
      <c r="AQ214" s="124"/>
      <c r="AR214" s="124"/>
      <c r="AS214" s="124"/>
      <c r="AT214" s="124"/>
      <c r="AU214" s="124"/>
      <c r="AV214" s="124"/>
      <c r="AW214" s="124"/>
      <c r="AX214" s="124"/>
      <c r="AY214" s="124"/>
      <c r="AZ214" s="124"/>
      <c r="BA214" s="124"/>
      <c r="BB214" s="124"/>
      <c r="BC214" s="124"/>
      <c r="BD214" s="124"/>
      <c r="BE214" s="124"/>
      <c r="BF214" s="124"/>
      <c r="BG214" s="124"/>
      <c r="BH214" s="124"/>
      <c r="BI214" s="124"/>
      <c r="BJ214" s="124"/>
      <c r="BK214" s="124"/>
      <c r="BL214" s="124"/>
      <c r="BM214" s="124"/>
      <c r="BN214" s="124"/>
      <c r="BO214" s="124"/>
      <c r="BP214" s="124"/>
    </row>
    <row r="215" spans="1:68" ht="14.5" customHeight="1" x14ac:dyDescent="0.35">
      <c r="A215" s="94"/>
      <c r="B215" s="94"/>
      <c r="C215" s="94"/>
      <c r="D215" s="94"/>
      <c r="E215" s="94"/>
      <c r="F215" s="94"/>
      <c r="G215" s="94"/>
      <c r="H215" s="94"/>
      <c r="I215" s="125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  <c r="BC215" s="126"/>
      <c r="BD215" s="126"/>
      <c r="BE215" s="126"/>
      <c r="BF215" s="126"/>
      <c r="BG215" s="126"/>
      <c r="BH215" s="126"/>
      <c r="BI215" s="126"/>
      <c r="BJ215" s="126"/>
      <c r="BK215" s="126"/>
      <c r="BL215" s="126"/>
      <c r="BM215" s="126"/>
      <c r="BN215" s="126"/>
      <c r="BO215" s="126"/>
      <c r="BP215" s="126"/>
    </row>
    <row r="216" spans="1:68" ht="21" x14ac:dyDescent="0.35">
      <c r="A216" s="4" t="s">
        <v>0</v>
      </c>
      <c r="B216" s="4" t="s">
        <v>1</v>
      </c>
      <c r="C216" s="4" t="s">
        <v>2</v>
      </c>
      <c r="D216" s="4" t="s">
        <v>3</v>
      </c>
      <c r="E216" s="4" t="s">
        <v>4</v>
      </c>
      <c r="F216" s="4" t="s">
        <v>5</v>
      </c>
      <c r="G216" s="4" t="s">
        <v>6</v>
      </c>
      <c r="H216" s="4" t="s">
        <v>20</v>
      </c>
      <c r="I216" s="97" t="s">
        <v>117</v>
      </c>
      <c r="J216" s="98"/>
      <c r="K216" s="4" t="s">
        <v>21</v>
      </c>
      <c r="L216" s="4" t="s">
        <v>119</v>
      </c>
      <c r="M216" s="4" t="s">
        <v>120</v>
      </c>
      <c r="N216" s="133" t="s">
        <v>117</v>
      </c>
      <c r="O216" s="134"/>
      <c r="P216" s="8" t="s">
        <v>22</v>
      </c>
      <c r="Q216" s="8" t="s">
        <v>119</v>
      </c>
      <c r="R216" s="8" t="s">
        <v>120</v>
      </c>
      <c r="S216" s="97" t="s">
        <v>117</v>
      </c>
      <c r="T216" s="98"/>
      <c r="U216" s="4" t="s">
        <v>23</v>
      </c>
      <c r="V216" s="4" t="s">
        <v>119</v>
      </c>
      <c r="W216" s="4" t="s">
        <v>120</v>
      </c>
      <c r="X216" s="133" t="s">
        <v>117</v>
      </c>
      <c r="Y216" s="134"/>
      <c r="Z216" s="8" t="s">
        <v>24</v>
      </c>
      <c r="AA216" s="8" t="s">
        <v>119</v>
      </c>
      <c r="AB216" s="8" t="s">
        <v>120</v>
      </c>
      <c r="AC216" s="97" t="s">
        <v>117</v>
      </c>
      <c r="AD216" s="98"/>
      <c r="AE216" s="4" t="s">
        <v>25</v>
      </c>
      <c r="AF216" s="4" t="s">
        <v>119</v>
      </c>
      <c r="AG216" s="4" t="s">
        <v>120</v>
      </c>
      <c r="AH216" s="133" t="s">
        <v>117</v>
      </c>
      <c r="AI216" s="134"/>
      <c r="AJ216" s="8" t="s">
        <v>26</v>
      </c>
      <c r="AK216" s="8" t="s">
        <v>119</v>
      </c>
      <c r="AL216" s="8" t="s">
        <v>120</v>
      </c>
      <c r="AM216" s="97" t="s">
        <v>117</v>
      </c>
      <c r="AN216" s="98"/>
      <c r="AO216" s="4" t="s">
        <v>27</v>
      </c>
      <c r="AP216" s="4" t="s">
        <v>119</v>
      </c>
      <c r="AQ216" s="4" t="s">
        <v>120</v>
      </c>
      <c r="AR216" s="133" t="s">
        <v>117</v>
      </c>
      <c r="AS216" s="134"/>
      <c r="AT216" s="8" t="s">
        <v>28</v>
      </c>
      <c r="AU216" s="8" t="s">
        <v>119</v>
      </c>
      <c r="AV216" s="8" t="s">
        <v>120</v>
      </c>
      <c r="AW216" s="97" t="s">
        <v>117</v>
      </c>
      <c r="AX216" s="98"/>
      <c r="AY216" s="4" t="s">
        <v>29</v>
      </c>
      <c r="AZ216" s="4" t="s">
        <v>119</v>
      </c>
      <c r="BA216" s="4" t="s">
        <v>120</v>
      </c>
      <c r="BB216" s="133" t="s">
        <v>117</v>
      </c>
      <c r="BC216" s="134"/>
      <c r="BD216" s="8" t="s">
        <v>30</v>
      </c>
      <c r="BE216" s="8" t="s">
        <v>119</v>
      </c>
      <c r="BF216" s="8" t="s">
        <v>120</v>
      </c>
      <c r="BG216" s="97" t="s">
        <v>117</v>
      </c>
      <c r="BH216" s="98"/>
      <c r="BI216" s="4" t="s">
        <v>31</v>
      </c>
      <c r="BJ216" s="4" t="s">
        <v>119</v>
      </c>
      <c r="BK216" s="4" t="s">
        <v>120</v>
      </c>
      <c r="BL216" s="133" t="s">
        <v>117</v>
      </c>
      <c r="BM216" s="134"/>
      <c r="BN216" s="8" t="s">
        <v>32</v>
      </c>
      <c r="BO216" s="8" t="s">
        <v>119</v>
      </c>
      <c r="BP216" s="8" t="s">
        <v>120</v>
      </c>
    </row>
    <row r="217" spans="1:68" ht="43.5" customHeight="1" x14ac:dyDescent="0.35">
      <c r="A217" s="73" t="s">
        <v>85</v>
      </c>
      <c r="B217" s="82" t="s">
        <v>88</v>
      </c>
      <c r="C217" s="136">
        <v>5</v>
      </c>
      <c r="D217" s="82" t="s">
        <v>91</v>
      </c>
      <c r="E217" s="82" t="s">
        <v>94</v>
      </c>
      <c r="F217" s="82" t="s">
        <v>13</v>
      </c>
      <c r="G217" s="82" t="s">
        <v>61</v>
      </c>
      <c r="H217" s="139" t="s">
        <v>108</v>
      </c>
      <c r="I217" s="26" t="s">
        <v>151</v>
      </c>
      <c r="J217" s="11">
        <v>10</v>
      </c>
      <c r="K217" s="127">
        <f>(J217+J218)/J219*100</f>
        <v>15025</v>
      </c>
      <c r="L217" s="127" t="s">
        <v>121</v>
      </c>
      <c r="M217" s="130" t="s">
        <v>156</v>
      </c>
      <c r="N217" s="26" t="s">
        <v>151</v>
      </c>
      <c r="O217" s="11">
        <v>10</v>
      </c>
      <c r="P217" s="127">
        <f>(O217+O218)/O219*100</f>
        <v>15025</v>
      </c>
      <c r="Q217" s="127"/>
      <c r="R217" s="130"/>
      <c r="S217" s="26" t="s">
        <v>151</v>
      </c>
      <c r="T217" s="11"/>
      <c r="U217" s="127">
        <f>(T217+T218)/T219*100</f>
        <v>0</v>
      </c>
      <c r="V217" s="127"/>
      <c r="W217" s="130"/>
      <c r="X217" s="26" t="s">
        <v>151</v>
      </c>
      <c r="Y217" s="11">
        <v>50</v>
      </c>
      <c r="Z217" s="127">
        <f>(Y217+Y218)/Y219*100</f>
        <v>15125</v>
      </c>
      <c r="AA217" s="127"/>
      <c r="AB217" s="130"/>
      <c r="AC217" s="26" t="s">
        <v>151</v>
      </c>
      <c r="AD217" s="11"/>
      <c r="AE217" s="127">
        <f>(AD217+AD218)/AD219*100</f>
        <v>0</v>
      </c>
      <c r="AF217" s="127"/>
      <c r="AG217" s="130"/>
      <c r="AH217" s="26" t="s">
        <v>151</v>
      </c>
      <c r="AI217" s="11"/>
      <c r="AJ217" s="127">
        <f>(AI217+AI218)/AI219*100</f>
        <v>0</v>
      </c>
      <c r="AK217" s="127"/>
      <c r="AL217" s="130"/>
      <c r="AM217" s="26" t="s">
        <v>151</v>
      </c>
      <c r="AN217" s="11"/>
      <c r="AO217" s="127">
        <f>(AN217+AN218)/AN219*100</f>
        <v>0</v>
      </c>
      <c r="AP217" s="127"/>
      <c r="AQ217" s="130"/>
      <c r="AR217" s="26" t="s">
        <v>151</v>
      </c>
      <c r="AS217" s="11"/>
      <c r="AT217" s="127">
        <f>(AS217+AS218)/AS219*100</f>
        <v>0</v>
      </c>
      <c r="AU217" s="127"/>
      <c r="AV217" s="130"/>
      <c r="AW217" s="26" t="s">
        <v>151</v>
      </c>
      <c r="AX217" s="11"/>
      <c r="AY217" s="127">
        <f>(AX217+AX218)/AX219*100</f>
        <v>0</v>
      </c>
      <c r="AZ217" s="127"/>
      <c r="BA217" s="130"/>
      <c r="BB217" s="26" t="s">
        <v>151</v>
      </c>
      <c r="BC217" s="11"/>
      <c r="BD217" s="127">
        <f>(BC217+BC218)/BC219*100</f>
        <v>0</v>
      </c>
      <c r="BE217" s="127"/>
      <c r="BF217" s="130"/>
      <c r="BG217" s="26" t="s">
        <v>151</v>
      </c>
      <c r="BH217" s="11"/>
      <c r="BI217" s="127">
        <f>(BH217+BH218)/BH219*100</f>
        <v>0</v>
      </c>
      <c r="BJ217" s="127"/>
      <c r="BK217" s="130"/>
      <c r="BL217" s="26" t="s">
        <v>151</v>
      </c>
      <c r="BM217" s="11">
        <v>20</v>
      </c>
      <c r="BN217" s="127">
        <f>(BM217+BM218)/BM219*100</f>
        <v>15050</v>
      </c>
      <c r="BO217" s="127"/>
      <c r="BP217" s="130"/>
    </row>
    <row r="218" spans="1:68" ht="43.5" customHeight="1" x14ac:dyDescent="0.35">
      <c r="A218" s="73"/>
      <c r="B218" s="135"/>
      <c r="C218" s="137"/>
      <c r="D218" s="135"/>
      <c r="E218" s="135"/>
      <c r="F218" s="135"/>
      <c r="G218" s="135"/>
      <c r="H218" s="140"/>
      <c r="I218" s="28" t="s">
        <v>157</v>
      </c>
      <c r="J218" s="29">
        <v>6000</v>
      </c>
      <c r="K218" s="128"/>
      <c r="L218" s="128"/>
      <c r="M218" s="131"/>
      <c r="N218" s="28" t="s">
        <v>157</v>
      </c>
      <c r="O218" s="29">
        <v>6000</v>
      </c>
      <c r="P218" s="128"/>
      <c r="Q218" s="128"/>
      <c r="R218" s="131"/>
      <c r="S218" s="28" t="s">
        <v>157</v>
      </c>
      <c r="T218" s="29"/>
      <c r="U218" s="128"/>
      <c r="V218" s="128"/>
      <c r="W218" s="131"/>
      <c r="X218" s="28" t="s">
        <v>157</v>
      </c>
      <c r="Y218" s="29">
        <v>6000</v>
      </c>
      <c r="Z218" s="128"/>
      <c r="AA218" s="128"/>
      <c r="AB218" s="131"/>
      <c r="AC218" s="28" t="s">
        <v>157</v>
      </c>
      <c r="AD218" s="29"/>
      <c r="AE218" s="128"/>
      <c r="AF218" s="128"/>
      <c r="AG218" s="131"/>
      <c r="AH218" s="28" t="s">
        <v>157</v>
      </c>
      <c r="AI218" s="29"/>
      <c r="AJ218" s="128"/>
      <c r="AK218" s="128"/>
      <c r="AL218" s="131"/>
      <c r="AM218" s="28" t="s">
        <v>157</v>
      </c>
      <c r="AN218" s="29"/>
      <c r="AO218" s="128"/>
      <c r="AP218" s="128"/>
      <c r="AQ218" s="131"/>
      <c r="AR218" s="28" t="s">
        <v>157</v>
      </c>
      <c r="AS218" s="29"/>
      <c r="AT218" s="128"/>
      <c r="AU218" s="128"/>
      <c r="AV218" s="131"/>
      <c r="AW218" s="28" t="s">
        <v>157</v>
      </c>
      <c r="AX218" s="29"/>
      <c r="AY218" s="128"/>
      <c r="AZ218" s="128"/>
      <c r="BA218" s="131"/>
      <c r="BB218" s="28" t="s">
        <v>157</v>
      </c>
      <c r="BC218" s="29"/>
      <c r="BD218" s="128"/>
      <c r="BE218" s="128"/>
      <c r="BF218" s="131"/>
      <c r="BG218" s="28" t="s">
        <v>157</v>
      </c>
      <c r="BH218" s="29"/>
      <c r="BI218" s="128"/>
      <c r="BJ218" s="128"/>
      <c r="BK218" s="131"/>
      <c r="BL218" s="28" t="s">
        <v>157</v>
      </c>
      <c r="BM218" s="29">
        <v>6000</v>
      </c>
      <c r="BN218" s="128"/>
      <c r="BO218" s="128"/>
      <c r="BP218" s="131"/>
    </row>
    <row r="219" spans="1:68" ht="43.5" customHeight="1" x14ac:dyDescent="0.35">
      <c r="A219" s="73"/>
      <c r="B219" s="83"/>
      <c r="C219" s="138"/>
      <c r="D219" s="83"/>
      <c r="E219" s="83"/>
      <c r="F219" s="83"/>
      <c r="G219" s="83"/>
      <c r="H219" s="141"/>
      <c r="I219" s="28" t="s">
        <v>155</v>
      </c>
      <c r="J219" s="29">
        <v>40</v>
      </c>
      <c r="K219" s="129"/>
      <c r="L219" s="129"/>
      <c r="M219" s="132"/>
      <c r="N219" s="28" t="s">
        <v>155</v>
      </c>
      <c r="O219" s="29">
        <v>40</v>
      </c>
      <c r="P219" s="129"/>
      <c r="Q219" s="129"/>
      <c r="R219" s="132"/>
      <c r="S219" s="28" t="s">
        <v>155</v>
      </c>
      <c r="T219" s="29">
        <v>40</v>
      </c>
      <c r="U219" s="129"/>
      <c r="V219" s="129"/>
      <c r="W219" s="132"/>
      <c r="X219" s="28" t="s">
        <v>155</v>
      </c>
      <c r="Y219" s="29">
        <v>40</v>
      </c>
      <c r="Z219" s="129"/>
      <c r="AA219" s="129"/>
      <c r="AB219" s="132"/>
      <c r="AC219" s="28" t="s">
        <v>155</v>
      </c>
      <c r="AD219" s="29">
        <v>40</v>
      </c>
      <c r="AE219" s="129"/>
      <c r="AF219" s="129"/>
      <c r="AG219" s="132"/>
      <c r="AH219" s="28" t="s">
        <v>155</v>
      </c>
      <c r="AI219" s="29">
        <v>40</v>
      </c>
      <c r="AJ219" s="129"/>
      <c r="AK219" s="129"/>
      <c r="AL219" s="132"/>
      <c r="AM219" s="28" t="s">
        <v>155</v>
      </c>
      <c r="AN219" s="29">
        <v>40</v>
      </c>
      <c r="AO219" s="129"/>
      <c r="AP219" s="129"/>
      <c r="AQ219" s="132"/>
      <c r="AR219" s="28" t="s">
        <v>155</v>
      </c>
      <c r="AS219" s="29">
        <v>40</v>
      </c>
      <c r="AT219" s="129"/>
      <c r="AU219" s="129"/>
      <c r="AV219" s="132"/>
      <c r="AW219" s="28" t="s">
        <v>155</v>
      </c>
      <c r="AX219" s="29">
        <v>40</v>
      </c>
      <c r="AY219" s="129"/>
      <c r="AZ219" s="129"/>
      <c r="BA219" s="132"/>
      <c r="BB219" s="28" t="s">
        <v>155</v>
      </c>
      <c r="BC219" s="29">
        <v>40</v>
      </c>
      <c r="BD219" s="129"/>
      <c r="BE219" s="129"/>
      <c r="BF219" s="132"/>
      <c r="BG219" s="28" t="s">
        <v>155</v>
      </c>
      <c r="BH219" s="29">
        <v>40</v>
      </c>
      <c r="BI219" s="129"/>
      <c r="BJ219" s="129"/>
      <c r="BK219" s="132"/>
      <c r="BL219" s="28" t="s">
        <v>155</v>
      </c>
      <c r="BM219" s="29">
        <v>40</v>
      </c>
      <c r="BN219" s="129"/>
      <c r="BO219" s="129"/>
      <c r="BP219" s="132"/>
    </row>
  </sheetData>
  <mergeCells count="467">
    <mergeCell ref="B1:H1"/>
    <mergeCell ref="I1:J1"/>
    <mergeCell ref="BN1:BO1"/>
    <mergeCell ref="A2:H3"/>
    <mergeCell ref="BB4:BC4"/>
    <mergeCell ref="BG4:BH4"/>
    <mergeCell ref="BL4:BM4"/>
    <mergeCell ref="I4:J4"/>
    <mergeCell ref="N4:O4"/>
    <mergeCell ref="S4:T4"/>
    <mergeCell ref="X4:Y4"/>
    <mergeCell ref="AC4:AD4"/>
    <mergeCell ref="AH4:AI4"/>
    <mergeCell ref="I2:BO3"/>
    <mergeCell ref="BO5:BO6"/>
    <mergeCell ref="BP5:BP6"/>
    <mergeCell ref="A5:A6"/>
    <mergeCell ref="B5:B6"/>
    <mergeCell ref="C5:C6"/>
    <mergeCell ref="D5:D6"/>
    <mergeCell ref="E5:E6"/>
    <mergeCell ref="F5:F6"/>
    <mergeCell ref="AM4:AN4"/>
    <mergeCell ref="AR4:AS4"/>
    <mergeCell ref="AW4:AX4"/>
    <mergeCell ref="Q5:Q6"/>
    <mergeCell ref="R5:R6"/>
    <mergeCell ref="U5:U6"/>
    <mergeCell ref="V5:V6"/>
    <mergeCell ref="W5:W6"/>
    <mergeCell ref="Z5:Z6"/>
    <mergeCell ref="G5:G6"/>
    <mergeCell ref="H5:H6"/>
    <mergeCell ref="K5:K6"/>
    <mergeCell ref="L5:L6"/>
    <mergeCell ref="M5:M6"/>
    <mergeCell ref="P5:P6"/>
    <mergeCell ref="AO5:AO6"/>
    <mergeCell ref="BJ5:BJ6"/>
    <mergeCell ref="BK5:BK6"/>
    <mergeCell ref="BN5:BN6"/>
    <mergeCell ref="AU5:AU6"/>
    <mergeCell ref="AV5:AV6"/>
    <mergeCell ref="AY5:AY6"/>
    <mergeCell ref="AZ5:AZ6"/>
    <mergeCell ref="BA5:BA6"/>
    <mergeCell ref="BD5:BD6"/>
    <mergeCell ref="A30:H31"/>
    <mergeCell ref="I32:J32"/>
    <mergeCell ref="N32:O32"/>
    <mergeCell ref="S32:T32"/>
    <mergeCell ref="X32:Y32"/>
    <mergeCell ref="AC32:AD32"/>
    <mergeCell ref="BE5:BE6"/>
    <mergeCell ref="BF5:BF6"/>
    <mergeCell ref="BI5:BI6"/>
    <mergeCell ref="AK5:AK6"/>
    <mergeCell ref="AL5:AL6"/>
    <mergeCell ref="AH32:AI32"/>
    <mergeCell ref="AT5:AT6"/>
    <mergeCell ref="AA5:AA6"/>
    <mergeCell ref="AB5:AB6"/>
    <mergeCell ref="AE5:AE6"/>
    <mergeCell ref="AF5:AF6"/>
    <mergeCell ref="AG5:AG6"/>
    <mergeCell ref="AJ5:AJ6"/>
    <mergeCell ref="AP5:AP6"/>
    <mergeCell ref="AQ5:AQ6"/>
    <mergeCell ref="A33:A34"/>
    <mergeCell ref="B33:B34"/>
    <mergeCell ref="C33:C34"/>
    <mergeCell ref="D33:D34"/>
    <mergeCell ref="E33:E34"/>
    <mergeCell ref="F33:F34"/>
    <mergeCell ref="G33:G34"/>
    <mergeCell ref="H33:H34"/>
    <mergeCell ref="K33:K34"/>
    <mergeCell ref="U33:U34"/>
    <mergeCell ref="BJ33:BJ34"/>
    <mergeCell ref="BK33:BK34"/>
    <mergeCell ref="BN33:BN34"/>
    <mergeCell ref="AM32:AN32"/>
    <mergeCell ref="AR32:AS32"/>
    <mergeCell ref="AW32:AX32"/>
    <mergeCell ref="BB32:BC32"/>
    <mergeCell ref="BG32:BH32"/>
    <mergeCell ref="AL33:AL34"/>
    <mergeCell ref="AO33:AO34"/>
    <mergeCell ref="V33:V34"/>
    <mergeCell ref="W33:W34"/>
    <mergeCell ref="Z33:Z34"/>
    <mergeCell ref="AA33:AA34"/>
    <mergeCell ref="AB33:AB34"/>
    <mergeCell ref="AE33:AE34"/>
    <mergeCell ref="BL32:BM32"/>
    <mergeCell ref="BO33:BO34"/>
    <mergeCell ref="BP33:BP34"/>
    <mergeCell ref="A59:H60"/>
    <mergeCell ref="AZ33:AZ34"/>
    <mergeCell ref="BA33:BA34"/>
    <mergeCell ref="BD33:BD34"/>
    <mergeCell ref="BE33:BE34"/>
    <mergeCell ref="BF33:BF34"/>
    <mergeCell ref="BI33:BI34"/>
    <mergeCell ref="AP33:AP34"/>
    <mergeCell ref="AQ33:AQ34"/>
    <mergeCell ref="AT33:AT34"/>
    <mergeCell ref="AU33:AU34"/>
    <mergeCell ref="AV33:AV34"/>
    <mergeCell ref="AY33:AY34"/>
    <mergeCell ref="AF33:AF34"/>
    <mergeCell ref="AG33:AG34"/>
    <mergeCell ref="AJ33:AJ34"/>
    <mergeCell ref="AK33:AK34"/>
    <mergeCell ref="L33:L34"/>
    <mergeCell ref="M33:M34"/>
    <mergeCell ref="P33:P34"/>
    <mergeCell ref="Q33:Q34"/>
    <mergeCell ref="R33:R34"/>
    <mergeCell ref="BB61:BC61"/>
    <mergeCell ref="BG61:BH61"/>
    <mergeCell ref="BL61:BM61"/>
    <mergeCell ref="I61:J61"/>
    <mergeCell ref="N61:O61"/>
    <mergeCell ref="S61:T61"/>
    <mergeCell ref="X61:Y61"/>
    <mergeCell ref="AC61:AD61"/>
    <mergeCell ref="AH61:AI61"/>
    <mergeCell ref="BO62:BO63"/>
    <mergeCell ref="BP62:BP63"/>
    <mergeCell ref="A62:A63"/>
    <mergeCell ref="B62:B63"/>
    <mergeCell ref="C62:C63"/>
    <mergeCell ref="D62:D63"/>
    <mergeCell ref="E62:E63"/>
    <mergeCell ref="F62:F63"/>
    <mergeCell ref="AM61:AN61"/>
    <mergeCell ref="AR61:AS61"/>
    <mergeCell ref="AW61:AX61"/>
    <mergeCell ref="Q62:Q63"/>
    <mergeCell ref="R62:R63"/>
    <mergeCell ref="U62:U63"/>
    <mergeCell ref="V62:V63"/>
    <mergeCell ref="W62:W63"/>
    <mergeCell ref="Z62:Z63"/>
    <mergeCell ref="G62:G63"/>
    <mergeCell ref="H62:H63"/>
    <mergeCell ref="K62:K63"/>
    <mergeCell ref="L62:L63"/>
    <mergeCell ref="M62:M63"/>
    <mergeCell ref="P62:P63"/>
    <mergeCell ref="AO62:AO63"/>
    <mergeCell ref="BJ62:BJ63"/>
    <mergeCell ref="BK62:BK63"/>
    <mergeCell ref="BN62:BN63"/>
    <mergeCell ref="AU62:AU63"/>
    <mergeCell ref="AV62:AV63"/>
    <mergeCell ref="AY62:AY63"/>
    <mergeCell ref="AZ62:AZ63"/>
    <mergeCell ref="BA62:BA63"/>
    <mergeCell ref="BD62:BD63"/>
    <mergeCell ref="A87:H88"/>
    <mergeCell ref="I89:J89"/>
    <mergeCell ref="N89:O89"/>
    <mergeCell ref="S89:T89"/>
    <mergeCell ref="X89:Y89"/>
    <mergeCell ref="AC89:AD89"/>
    <mergeCell ref="BE62:BE63"/>
    <mergeCell ref="BF62:BF63"/>
    <mergeCell ref="BI62:BI63"/>
    <mergeCell ref="AK62:AK63"/>
    <mergeCell ref="AL62:AL63"/>
    <mergeCell ref="AH89:AI89"/>
    <mergeCell ref="AT62:AT63"/>
    <mergeCell ref="AA62:AA63"/>
    <mergeCell ref="AB62:AB63"/>
    <mergeCell ref="AE62:AE63"/>
    <mergeCell ref="AF62:AF63"/>
    <mergeCell ref="AG62:AG63"/>
    <mergeCell ref="AJ62:AJ63"/>
    <mergeCell ref="AP62:AP63"/>
    <mergeCell ref="AQ62:AQ63"/>
    <mergeCell ref="A90:A91"/>
    <mergeCell ref="B90:B91"/>
    <mergeCell ref="C90:C91"/>
    <mergeCell ref="D90:D91"/>
    <mergeCell ref="E90:E91"/>
    <mergeCell ref="F90:F91"/>
    <mergeCell ref="G90:G91"/>
    <mergeCell ref="H90:H91"/>
    <mergeCell ref="K90:K91"/>
    <mergeCell ref="U90:U91"/>
    <mergeCell ref="BJ90:BJ91"/>
    <mergeCell ref="BK90:BK91"/>
    <mergeCell ref="BN90:BN91"/>
    <mergeCell ref="AM89:AN89"/>
    <mergeCell ref="AR89:AS89"/>
    <mergeCell ref="AW89:AX89"/>
    <mergeCell ref="BB89:BC89"/>
    <mergeCell ref="BG89:BH89"/>
    <mergeCell ref="AL90:AL91"/>
    <mergeCell ref="AO90:AO91"/>
    <mergeCell ref="V90:V91"/>
    <mergeCell ref="W90:W91"/>
    <mergeCell ref="Z90:Z91"/>
    <mergeCell ref="AA90:AA91"/>
    <mergeCell ref="AB90:AB91"/>
    <mergeCell ref="AE90:AE91"/>
    <mergeCell ref="BL89:BM89"/>
    <mergeCell ref="BO90:BO91"/>
    <mergeCell ref="BP90:BP91"/>
    <mergeCell ref="A116:H117"/>
    <mergeCell ref="AZ90:AZ91"/>
    <mergeCell ref="BA90:BA91"/>
    <mergeCell ref="BD90:BD91"/>
    <mergeCell ref="BE90:BE91"/>
    <mergeCell ref="BF90:BF91"/>
    <mergeCell ref="BI90:BI91"/>
    <mergeCell ref="AP90:AP91"/>
    <mergeCell ref="AQ90:AQ91"/>
    <mergeCell ref="AT90:AT91"/>
    <mergeCell ref="AU90:AU91"/>
    <mergeCell ref="AV90:AV91"/>
    <mergeCell ref="AY90:AY91"/>
    <mergeCell ref="AF90:AF91"/>
    <mergeCell ref="AG90:AG91"/>
    <mergeCell ref="AJ90:AJ91"/>
    <mergeCell ref="AK90:AK91"/>
    <mergeCell ref="L90:L91"/>
    <mergeCell ref="M90:M91"/>
    <mergeCell ref="P90:P91"/>
    <mergeCell ref="Q90:Q91"/>
    <mergeCell ref="R90:R91"/>
    <mergeCell ref="BB118:BC118"/>
    <mergeCell ref="BG118:BH118"/>
    <mergeCell ref="BL118:BM118"/>
    <mergeCell ref="I118:J118"/>
    <mergeCell ref="N118:O118"/>
    <mergeCell ref="S118:T118"/>
    <mergeCell ref="X118:Y118"/>
    <mergeCell ref="AC118:AD118"/>
    <mergeCell ref="AH118:AI118"/>
    <mergeCell ref="BO119:BO124"/>
    <mergeCell ref="BP119:BP124"/>
    <mergeCell ref="A119:A124"/>
    <mergeCell ref="B119:B124"/>
    <mergeCell ref="C119:C124"/>
    <mergeCell ref="D119:D124"/>
    <mergeCell ref="E119:E124"/>
    <mergeCell ref="F119:F124"/>
    <mergeCell ref="AM118:AN118"/>
    <mergeCell ref="AR118:AS118"/>
    <mergeCell ref="AW118:AX118"/>
    <mergeCell ref="Q119:Q124"/>
    <mergeCell ref="R119:R124"/>
    <mergeCell ref="U119:U124"/>
    <mergeCell ref="V119:V124"/>
    <mergeCell ref="W119:W124"/>
    <mergeCell ref="Z119:Z124"/>
    <mergeCell ref="G119:G124"/>
    <mergeCell ref="H119:H124"/>
    <mergeCell ref="K119:K124"/>
    <mergeCell ref="L119:L124"/>
    <mergeCell ref="M119:M124"/>
    <mergeCell ref="P119:P124"/>
    <mergeCell ref="AO119:AO124"/>
    <mergeCell ref="BJ119:BJ124"/>
    <mergeCell ref="BK119:BK124"/>
    <mergeCell ref="BN119:BN124"/>
    <mergeCell ref="AU119:AU124"/>
    <mergeCell ref="AV119:AV124"/>
    <mergeCell ref="AY119:AY124"/>
    <mergeCell ref="AZ119:AZ124"/>
    <mergeCell ref="BA119:BA124"/>
    <mergeCell ref="BD119:BD124"/>
    <mergeCell ref="A153:H154"/>
    <mergeCell ref="I155:J155"/>
    <mergeCell ref="N155:O155"/>
    <mergeCell ref="S155:T155"/>
    <mergeCell ref="X155:Y155"/>
    <mergeCell ref="AC155:AD155"/>
    <mergeCell ref="BE119:BE124"/>
    <mergeCell ref="BF119:BF124"/>
    <mergeCell ref="BI119:BI124"/>
    <mergeCell ref="AK119:AK124"/>
    <mergeCell ref="AL119:AL124"/>
    <mergeCell ref="AH155:AI155"/>
    <mergeCell ref="AT119:AT124"/>
    <mergeCell ref="AA119:AA124"/>
    <mergeCell ref="AB119:AB124"/>
    <mergeCell ref="AE119:AE124"/>
    <mergeCell ref="AF119:AF124"/>
    <mergeCell ref="AG119:AG124"/>
    <mergeCell ref="AJ119:AJ124"/>
    <mergeCell ref="AP119:AP124"/>
    <mergeCell ref="AQ119:AQ124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K156:K157"/>
    <mergeCell ref="U156:U157"/>
    <mergeCell ref="BJ156:BJ157"/>
    <mergeCell ref="BK156:BK157"/>
    <mergeCell ref="BN156:BN157"/>
    <mergeCell ref="AM155:AN155"/>
    <mergeCell ref="AR155:AS155"/>
    <mergeCell ref="AW155:AX155"/>
    <mergeCell ref="BB155:BC155"/>
    <mergeCell ref="BG155:BH155"/>
    <mergeCell ref="AL156:AL157"/>
    <mergeCell ref="AO156:AO157"/>
    <mergeCell ref="V156:V157"/>
    <mergeCell ref="W156:W157"/>
    <mergeCell ref="Z156:Z157"/>
    <mergeCell ref="AA156:AA157"/>
    <mergeCell ref="AB156:AB157"/>
    <mergeCell ref="AE156:AE157"/>
    <mergeCell ref="BL155:BM155"/>
    <mergeCell ref="BO156:BO157"/>
    <mergeCell ref="BP156:BP157"/>
    <mergeCell ref="A181:H182"/>
    <mergeCell ref="AZ156:AZ157"/>
    <mergeCell ref="BA156:BA157"/>
    <mergeCell ref="BD156:BD157"/>
    <mergeCell ref="BE156:BE157"/>
    <mergeCell ref="BF156:BF157"/>
    <mergeCell ref="BI156:BI157"/>
    <mergeCell ref="AP156:AP157"/>
    <mergeCell ref="AQ156:AQ157"/>
    <mergeCell ref="AT156:AT157"/>
    <mergeCell ref="AU156:AU157"/>
    <mergeCell ref="AV156:AV157"/>
    <mergeCell ref="AY156:AY157"/>
    <mergeCell ref="AF156:AF157"/>
    <mergeCell ref="AG156:AG157"/>
    <mergeCell ref="AJ156:AJ157"/>
    <mergeCell ref="AK156:AK157"/>
    <mergeCell ref="L156:L157"/>
    <mergeCell ref="M156:M157"/>
    <mergeCell ref="P156:P157"/>
    <mergeCell ref="Q156:Q157"/>
    <mergeCell ref="R156:R157"/>
    <mergeCell ref="BB183:BC183"/>
    <mergeCell ref="BG183:BH183"/>
    <mergeCell ref="BL183:BM183"/>
    <mergeCell ref="I183:J183"/>
    <mergeCell ref="N183:O183"/>
    <mergeCell ref="S183:T183"/>
    <mergeCell ref="X183:Y183"/>
    <mergeCell ref="AC183:AD183"/>
    <mergeCell ref="AH183:AI183"/>
    <mergeCell ref="BO184:BO187"/>
    <mergeCell ref="BP184:BP187"/>
    <mergeCell ref="A184:A187"/>
    <mergeCell ref="B184:B187"/>
    <mergeCell ref="C184:C187"/>
    <mergeCell ref="D184:D187"/>
    <mergeCell ref="E184:E187"/>
    <mergeCell ref="F184:F187"/>
    <mergeCell ref="AM183:AN183"/>
    <mergeCell ref="AR183:AS183"/>
    <mergeCell ref="AW183:AX183"/>
    <mergeCell ref="Q184:Q187"/>
    <mergeCell ref="R184:R187"/>
    <mergeCell ref="U184:U187"/>
    <mergeCell ref="V184:V187"/>
    <mergeCell ref="W184:W187"/>
    <mergeCell ref="Z184:Z187"/>
    <mergeCell ref="G184:G187"/>
    <mergeCell ref="H184:H187"/>
    <mergeCell ref="K184:K187"/>
    <mergeCell ref="L184:L187"/>
    <mergeCell ref="M184:M187"/>
    <mergeCell ref="P184:P187"/>
    <mergeCell ref="AO184:AO187"/>
    <mergeCell ref="BL216:BM216"/>
    <mergeCell ref="AH216:AI216"/>
    <mergeCell ref="AT184:AT187"/>
    <mergeCell ref="AA184:AA187"/>
    <mergeCell ref="AB184:AB187"/>
    <mergeCell ref="AE184:AE187"/>
    <mergeCell ref="AF184:AF187"/>
    <mergeCell ref="AG184:AG187"/>
    <mergeCell ref="AJ184:AJ187"/>
    <mergeCell ref="AP184:AP187"/>
    <mergeCell ref="AQ184:AQ187"/>
    <mergeCell ref="BJ184:BJ187"/>
    <mergeCell ref="BK184:BK187"/>
    <mergeCell ref="BN184:BN187"/>
    <mergeCell ref="AU184:AU187"/>
    <mergeCell ref="AV184:AV187"/>
    <mergeCell ref="AY184:AY187"/>
    <mergeCell ref="AZ184:AZ187"/>
    <mergeCell ref="BA184:BA187"/>
    <mergeCell ref="BD184:BD187"/>
    <mergeCell ref="A214:H215"/>
    <mergeCell ref="I216:J216"/>
    <mergeCell ref="N216:O216"/>
    <mergeCell ref="S216:T216"/>
    <mergeCell ref="X216:Y216"/>
    <mergeCell ref="AC216:AD216"/>
    <mergeCell ref="BE184:BE187"/>
    <mergeCell ref="BF184:BF187"/>
    <mergeCell ref="BI184:BI187"/>
    <mergeCell ref="AK184:AK187"/>
    <mergeCell ref="AL184:AL187"/>
    <mergeCell ref="A217:A219"/>
    <mergeCell ref="B217:B219"/>
    <mergeCell ref="C217:C219"/>
    <mergeCell ref="D217:D219"/>
    <mergeCell ref="E217:E219"/>
    <mergeCell ref="F217:F219"/>
    <mergeCell ref="G217:G219"/>
    <mergeCell ref="H217:H219"/>
    <mergeCell ref="K217:K219"/>
    <mergeCell ref="AM216:AN216"/>
    <mergeCell ref="AR216:AS216"/>
    <mergeCell ref="AW216:AX216"/>
    <mergeCell ref="BB216:BC216"/>
    <mergeCell ref="BG216:BH216"/>
    <mergeCell ref="V217:V219"/>
    <mergeCell ref="W217:W219"/>
    <mergeCell ref="Z217:Z219"/>
    <mergeCell ref="AA217:AA219"/>
    <mergeCell ref="AB217:AB219"/>
    <mergeCell ref="AE217:AE219"/>
    <mergeCell ref="AU217:AU219"/>
    <mergeCell ref="AV217:AV219"/>
    <mergeCell ref="AY217:AY219"/>
    <mergeCell ref="AP217:AP219"/>
    <mergeCell ref="AQ217:AQ219"/>
    <mergeCell ref="AT217:AT219"/>
    <mergeCell ref="AF217:AF219"/>
    <mergeCell ref="AG217:AG219"/>
    <mergeCell ref="AJ217:AJ219"/>
    <mergeCell ref="AK217:AK219"/>
    <mergeCell ref="AL217:AL219"/>
    <mergeCell ref="AO217:AO219"/>
    <mergeCell ref="I30:BO31"/>
    <mergeCell ref="I59:BO60"/>
    <mergeCell ref="I87:BP88"/>
    <mergeCell ref="I116:BO117"/>
    <mergeCell ref="I153:BO154"/>
    <mergeCell ref="I181:BP182"/>
    <mergeCell ref="I214:BP215"/>
    <mergeCell ref="BJ217:BJ219"/>
    <mergeCell ref="BK217:BK219"/>
    <mergeCell ref="BN217:BN219"/>
    <mergeCell ref="BO217:BO219"/>
    <mergeCell ref="BP217:BP219"/>
    <mergeCell ref="AZ217:AZ219"/>
    <mergeCell ref="BA217:BA219"/>
    <mergeCell ref="BD217:BD219"/>
    <mergeCell ref="BE217:BE219"/>
    <mergeCell ref="BF217:BF219"/>
    <mergeCell ref="BI217:BI219"/>
    <mergeCell ref="L217:L219"/>
    <mergeCell ref="M217:M219"/>
    <mergeCell ref="P217:P219"/>
    <mergeCell ref="Q217:Q219"/>
    <mergeCell ref="R217:R219"/>
    <mergeCell ref="U217:U2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DECRETO 1072-2015</vt:lpstr>
      <vt:lpstr>RESOLUCIÓN 0312-2019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2022-11-22T15:37:40Z</dcterms:modified>
</cp:coreProperties>
</file>
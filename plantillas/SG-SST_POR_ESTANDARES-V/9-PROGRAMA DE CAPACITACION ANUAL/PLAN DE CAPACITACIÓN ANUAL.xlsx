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SEGURIDAD OCUPACIONAL WOT\SG-SST POR ESTANDARES-V\9-PROGRAMA DE CAPACITACION ANUAL\"/>
    </mc:Choice>
  </mc:AlternateContent>
  <bookViews>
    <workbookView xWindow="-120" yWindow="-120" windowWidth="20730" windowHeight="11160" tabRatio="584"/>
  </bookViews>
  <sheets>
    <sheet name="1" sheetId="5" r:id="rId1"/>
  </sheets>
  <definedNames>
    <definedName name="_xlnm.Print_Area" localSheetId="0">'1'!$B$1:$X$175</definedName>
    <definedName name="_xlnm.Print_Titles" localSheetId="0">'1'!$1:$2</definedName>
  </definedNames>
  <calcPr calcId="152511"/>
</workbook>
</file>

<file path=xl/calcChain.xml><?xml version="1.0" encoding="utf-8"?>
<calcChain xmlns="http://schemas.openxmlformats.org/spreadsheetml/2006/main">
  <c r="T136" i="5" l="1"/>
  <c r="T134" i="5"/>
  <c r="T150" i="5"/>
  <c r="T148" i="5"/>
  <c r="T146" i="5"/>
  <c r="T144" i="5"/>
  <c r="T142" i="5"/>
  <c r="T140" i="5"/>
  <c r="T138" i="5"/>
  <c r="T132" i="5"/>
  <c r="T130" i="5"/>
  <c r="T128" i="5"/>
  <c r="T126" i="5"/>
  <c r="T124" i="5"/>
  <c r="T122" i="5"/>
  <c r="T120" i="5"/>
  <c r="T118" i="5"/>
  <c r="T152" i="5"/>
  <c r="T116" i="5"/>
  <c r="T114" i="5"/>
  <c r="T112" i="5"/>
  <c r="T110" i="5"/>
  <c r="T108" i="5"/>
  <c r="T106" i="5"/>
  <c r="T104" i="5"/>
  <c r="T102" i="5"/>
  <c r="T100" i="5"/>
  <c r="T98" i="5"/>
  <c r="T96" i="5"/>
  <c r="T94" i="5"/>
  <c r="T92" i="5"/>
  <c r="T90" i="5"/>
  <c r="T88" i="5"/>
  <c r="T86" i="5"/>
  <c r="T160" i="5"/>
  <c r="T158" i="5"/>
  <c r="T156" i="5"/>
  <c r="T154" i="5"/>
  <c r="T62" i="5"/>
  <c r="T40" i="5" l="1"/>
  <c r="T42" i="5" l="1"/>
  <c r="T38" i="5"/>
  <c r="T36" i="5"/>
  <c r="T78" i="5" l="1"/>
  <c r="T84" i="5" l="1"/>
  <c r="T82" i="5"/>
  <c r="T64" i="5"/>
  <c r="T60" i="5"/>
  <c r="T58" i="5"/>
  <c r="T20" i="5"/>
  <c r="T22" i="5"/>
  <c r="T24" i="5"/>
  <c r="T26" i="5"/>
  <c r="T28" i="5"/>
  <c r="T30" i="5"/>
  <c r="T32" i="5"/>
  <c r="T34" i="5"/>
  <c r="T44" i="5"/>
  <c r="T46" i="5"/>
  <c r="T48" i="5"/>
  <c r="T50" i="5"/>
  <c r="T52" i="5"/>
  <c r="T54" i="5"/>
  <c r="T56" i="5"/>
  <c r="R163" i="5" l="1"/>
  <c r="R174" i="5" s="1"/>
  <c r="I162" i="5"/>
  <c r="I173" i="5" s="1"/>
  <c r="J162" i="5"/>
  <c r="J173" i="5" s="1"/>
  <c r="K162" i="5"/>
  <c r="K173" i="5" s="1"/>
  <c r="L162" i="5"/>
  <c r="L173" i="5" s="1"/>
  <c r="M162" i="5"/>
  <c r="M173" i="5" s="1"/>
  <c r="N162" i="5"/>
  <c r="N173" i="5" s="1"/>
  <c r="O162" i="5"/>
  <c r="O173" i="5" s="1"/>
  <c r="P162" i="5"/>
  <c r="P173" i="5" s="1"/>
  <c r="Q162" i="5"/>
  <c r="Q173" i="5" s="1"/>
  <c r="R162" i="5"/>
  <c r="R173" i="5" s="1"/>
  <c r="R175" i="5" s="1"/>
  <c r="S162" i="5"/>
  <c r="S173" i="5" s="1"/>
  <c r="I163" i="5"/>
  <c r="I174" i="5" s="1"/>
  <c r="J163" i="5"/>
  <c r="J174" i="5" s="1"/>
  <c r="K163" i="5"/>
  <c r="K174" i="5" s="1"/>
  <c r="L163" i="5"/>
  <c r="L174" i="5" s="1"/>
  <c r="M163" i="5"/>
  <c r="M174" i="5" s="1"/>
  <c r="N163" i="5"/>
  <c r="N174" i="5" s="1"/>
  <c r="O163" i="5"/>
  <c r="O174" i="5" s="1"/>
  <c r="P163" i="5"/>
  <c r="P174" i="5" s="1"/>
  <c r="Q163" i="5"/>
  <c r="Q174" i="5" s="1"/>
  <c r="S163" i="5"/>
  <c r="S174" i="5" s="1"/>
  <c r="H163" i="5"/>
  <c r="H162" i="5"/>
  <c r="H173" i="5" s="1"/>
  <c r="T16" i="5"/>
  <c r="T18" i="5"/>
  <c r="T66" i="5"/>
  <c r="T68" i="5"/>
  <c r="T70" i="5"/>
  <c r="T72" i="5"/>
  <c r="T74" i="5"/>
  <c r="T76" i="5"/>
  <c r="T80" i="5"/>
  <c r="T14" i="5"/>
  <c r="O175" i="5" l="1"/>
  <c r="H174" i="5"/>
  <c r="L175" i="5"/>
  <c r="J175" i="5"/>
  <c r="P175" i="5"/>
  <c r="M175" i="5"/>
  <c r="N175" i="5"/>
  <c r="S175" i="5"/>
  <c r="Q175" i="5"/>
  <c r="K175" i="5"/>
  <c r="I175" i="5"/>
  <c r="T162" i="5"/>
  <c r="T163" i="5"/>
  <c r="T174" i="5"/>
  <c r="T173" i="5"/>
  <c r="H175" i="5"/>
  <c r="T175" i="5" l="1"/>
</calcChain>
</file>

<file path=xl/comments1.xml><?xml version="1.0" encoding="utf-8"?>
<comments xmlns="http://schemas.openxmlformats.org/spreadsheetml/2006/main">
  <authors>
    <author>LENOVO 1</author>
  </authors>
  <commentList>
    <comment ref="H15" authorId="0" shapeId="0">
      <text>
        <r>
          <rPr>
            <b/>
            <sz val="9"/>
            <color indexed="81"/>
            <rFont val="Tahoma"/>
            <charset val="1"/>
          </rPr>
          <t>LENOVO 1:</t>
        </r>
        <r>
          <rPr>
            <sz val="9"/>
            <color indexed="81"/>
            <rFont val="Tahoma"/>
            <charset val="1"/>
          </rPr>
          <t xml:space="preserve">
Se realizó en diciembre del 2020</t>
        </r>
      </text>
    </comment>
    <comment ref="H23" authorId="0" shapeId="0">
      <text>
        <r>
          <rPr>
            <b/>
            <sz val="9"/>
            <color indexed="81"/>
            <rFont val="Tahoma"/>
            <charset val="1"/>
          </rPr>
          <t>LENOVO 1:</t>
        </r>
        <r>
          <rPr>
            <sz val="9"/>
            <color indexed="81"/>
            <rFont val="Tahoma"/>
            <charset val="1"/>
          </rPr>
          <t xml:space="preserve">
Se realizó en diciembre 2020</t>
        </r>
      </text>
    </comment>
  </commentList>
</comments>
</file>

<file path=xl/sharedStrings.xml><?xml version="1.0" encoding="utf-8"?>
<sst xmlns="http://schemas.openxmlformats.org/spreadsheetml/2006/main" count="628" uniqueCount="189">
  <si>
    <t>OBSERVACIONES</t>
  </si>
  <si>
    <t>ENE</t>
  </si>
  <si>
    <t>FEB</t>
  </si>
  <si>
    <t>MAR</t>
  </si>
  <si>
    <t>ABR</t>
  </si>
  <si>
    <t>MAY</t>
  </si>
  <si>
    <t>JUN</t>
  </si>
  <si>
    <t>JUL</t>
  </si>
  <si>
    <t>AGO</t>
  </si>
  <si>
    <t>SEP</t>
  </si>
  <si>
    <t>OCT</t>
  </si>
  <si>
    <t>NOV</t>
  </si>
  <si>
    <t>DIC</t>
  </si>
  <si>
    <t>TOTAL</t>
  </si>
  <si>
    <t>TIPO DE RECURSOS</t>
  </si>
  <si>
    <t>DETALLE</t>
  </si>
  <si>
    <t>% Cumplimiento actividad/fase</t>
  </si>
  <si>
    <t xml:space="preserve">1. OBJETIVO </t>
  </si>
  <si>
    <t xml:space="preserve">2. ALCANCE </t>
  </si>
  <si>
    <t>3. METAS</t>
  </si>
  <si>
    <t>TOTAL PROGRAMADO</t>
  </si>
  <si>
    <t>TOTAL EJECUTADO</t>
  </si>
  <si>
    <t>P*</t>
  </si>
  <si>
    <t>E*</t>
  </si>
  <si>
    <t>5. RECURSOS ASIGNADOS</t>
  </si>
  <si>
    <t>6. MEDICIÒN Y SEGUIMIENTO</t>
  </si>
  <si>
    <t>VARIABLES</t>
  </si>
  <si>
    <t>FORMULA</t>
  </si>
  <si>
    <t>ACTIVIDADES EJECUTADAS</t>
  </si>
  <si>
    <t>RESULTADO</t>
  </si>
  <si>
    <t>META</t>
  </si>
  <si>
    <t>ANALISIS DE DATOS</t>
  </si>
  <si>
    <t>GRAFICA</t>
  </si>
  <si>
    <t>PLAZO DETERMINADO PARA SU CUMPLIMIENTO</t>
  </si>
  <si>
    <t>ACTIVIDADES A DESARROLLAR</t>
  </si>
  <si>
    <t>HUMANOS</t>
  </si>
  <si>
    <t xml:space="preserve"> TECNICOS</t>
  </si>
  <si>
    <t xml:space="preserve"> FINANCIEROS</t>
  </si>
  <si>
    <t>LOCATIVOS</t>
  </si>
  <si>
    <r>
      <t xml:space="preserve">Cuando se cumpla se marca con 1, en </t>
    </r>
    <r>
      <rPr>
        <b/>
        <sz val="11"/>
        <color indexed="10"/>
        <rFont val="Arial"/>
        <family val="2"/>
      </rPr>
      <t>P si es  (Planeado)</t>
    </r>
    <r>
      <rPr>
        <b/>
        <sz val="11"/>
        <color indexed="8"/>
        <rFont val="Arial"/>
        <family val="2"/>
      </rPr>
      <t xml:space="preserve"> o con </t>
    </r>
    <r>
      <rPr>
        <sz val="11"/>
        <color indexed="8"/>
        <rFont val="Arial"/>
        <family val="2"/>
      </rPr>
      <t xml:space="preserve">1 si es </t>
    </r>
    <r>
      <rPr>
        <b/>
        <sz val="11"/>
        <color indexed="21"/>
        <rFont val="Arial"/>
        <family val="2"/>
      </rPr>
      <t>(Ejecutado)</t>
    </r>
    <r>
      <rPr>
        <sz val="11"/>
        <color indexed="21"/>
        <rFont val="Arial"/>
        <family val="2"/>
      </rPr>
      <t xml:space="preserve"> </t>
    </r>
  </si>
  <si>
    <r>
      <rPr>
        <u/>
        <sz val="10"/>
        <rFont val="Arial"/>
        <family val="2"/>
      </rPr>
      <t>Actividades ejecutadas *100</t>
    </r>
    <r>
      <rPr>
        <sz val="10"/>
        <rFont val="Arial"/>
        <family val="2"/>
      </rPr>
      <t xml:space="preserve">
Actividades programadas</t>
    </r>
  </si>
  <si>
    <t>AÑO 2021</t>
  </si>
  <si>
    <t xml:space="preserve">Se estableceran en el presupuesto </t>
  </si>
  <si>
    <t>Todos los trabajadores de acuerdo a las funciones asignadas</t>
  </si>
  <si>
    <t>PLAN DE CAPACITACIÓN ANUAL 2021</t>
  </si>
  <si>
    <t>Cumplir el 80% de las capacitaciones programadas</t>
  </si>
  <si>
    <t>CAPACITACIÓN</t>
  </si>
  <si>
    <t>CONTENIDO</t>
  </si>
  <si>
    <t>TIEMPO</t>
  </si>
  <si>
    <t>POBLACIÓN OBJETO</t>
  </si>
  <si>
    <t>RESPONSABLE</t>
  </si>
  <si>
    <t>EVIDENCIA DE CUMPLIMIENTO</t>
  </si>
  <si>
    <t>Brigadista en primeros auxilios</t>
  </si>
  <si>
    <t>Brigadista en prevención y control de incendios</t>
  </si>
  <si>
    <t>Brigadista en evacuación y rescate</t>
  </si>
  <si>
    <t>RCP, A quien acudir, que hacer en caso de lesiones, hemorragias, fracturas, RCP, entre otros</t>
  </si>
  <si>
    <t>8 horas</t>
  </si>
  <si>
    <t>Conceptos basicos, tipos de extintores, prevención de incendios, practica de manejo de extintor.</t>
  </si>
  <si>
    <t>Conceptos basicos, medidas de evacuacion y rescate</t>
  </si>
  <si>
    <t>Brigadistas de emergencias</t>
  </si>
  <si>
    <t>Funciones VIGÍA/COPASST</t>
  </si>
  <si>
    <t>Funciones del vigía o COPASST establecidos en la Resolción 2013/1986 y Decreto 1072</t>
  </si>
  <si>
    <t>1 hora</t>
  </si>
  <si>
    <t>30 min</t>
  </si>
  <si>
    <t>Funciones del Comité convivencia laboral</t>
  </si>
  <si>
    <t>Funciones  del CCL de acuerdo a la Resolución 652/2012</t>
  </si>
  <si>
    <t>VIGÍA/COPASST</t>
  </si>
  <si>
    <t>Responsable SG-SST</t>
  </si>
  <si>
    <t>CCL de la empresa</t>
  </si>
  <si>
    <t>Inducción/Re inducción</t>
  </si>
  <si>
    <t>Todos los trabajadores, contratistas y sub contratistas</t>
  </si>
  <si>
    <t>Políticas, reglamentos, procedimientos, normas, IPEVR, protocolos,  PPL, entre otros</t>
  </si>
  <si>
    <t>Elementos de protección personal</t>
  </si>
  <si>
    <t>Uso, cuidado, mantenimiento y disposicion final. Ficha tecnica del EPP</t>
  </si>
  <si>
    <t xml:space="preserve"> 
Idenficación de peligros, evaluación y valoración de los riesgos </t>
  </si>
  <si>
    <t xml:space="preserve">Actos y Condiciones inseguras, tipos de peligros (en la fuente, en el medio, en el individuo), medidas de control. Idenficar peligros, evaluar y valorar los riesgos para prevenir los incidentes, accidentes de trabajo y enfermedad laboral </t>
  </si>
  <si>
    <t>Autocuidado y Manejo de Herramientas</t>
  </si>
  <si>
    <t>Manejo seguro de herramientas que utilizan en la obra</t>
  </si>
  <si>
    <t>Diligenciamiento para la inspección preperacional de máquinas, equipos y herramientas. Reporte de novedades y defectos</t>
  </si>
  <si>
    <t>Cömo realizar las inspecciones, el reporte de novedades y la trazabilidad de mantenimientos en las hojas de vida de los equipos.</t>
  </si>
  <si>
    <t>Todos los trabajadores</t>
  </si>
  <si>
    <t>Reporte de incidentes de trabajo, accidentes de trabajo y enfermedades laboralees</t>
  </si>
  <si>
    <t xml:space="preserve">Definiciones, como se reporta un accidente de trabajo, como se realiza una investigacion de accidente de trabajo, legislacion aplicable, leccion aprendida, plan de accion. factores que influyen en la generación de enfermedades labores y las medidas de prevención. </t>
  </si>
  <si>
    <t>Conservacion visual</t>
  </si>
  <si>
    <t xml:space="preserve">Hábitos y cuidados para conservar la vista </t>
  </si>
  <si>
    <t>Cuidados auditivos</t>
  </si>
  <si>
    <t>Uso de EPP para prevenir lesiones auditivas, hábitos y cuidados para conservar la audición.</t>
  </si>
  <si>
    <t>Cuidados de la piel por rayos UV</t>
  </si>
  <si>
    <t>Medidas preventivas para prevenir el cancer de piel</t>
  </si>
  <si>
    <t>Orden y aseo</t>
  </si>
  <si>
    <t>Programa de orden y aseo</t>
  </si>
  <si>
    <t>Señalizaciones</t>
  </si>
  <si>
    <t>Significado de los colores, formas, contrastes, de las señalizaciones y las clases que existen</t>
  </si>
  <si>
    <t>Prevención riesgo eléctrico</t>
  </si>
  <si>
    <t>Conceptos, 5 reglas de oro, medidas preventivas, EPP</t>
  </si>
  <si>
    <t>Almacenamiento adecuado de objetos y MMC</t>
  </si>
  <si>
    <t>Distribución adecuada de objetos y procedimiento para manipular cargas de forma manual</t>
  </si>
  <si>
    <t>Riesgo biomecánico</t>
  </si>
  <si>
    <t>Posturas, definiciones, medidas preventivas</t>
  </si>
  <si>
    <t>Riesgo biológico</t>
  </si>
  <si>
    <t>Virus, bacterias, picaduras</t>
  </si>
  <si>
    <t>Procedimiento operativo normalizado</t>
  </si>
  <si>
    <t>Sismo/terremoto</t>
  </si>
  <si>
    <t>Incendio forestal/tecnológico</t>
  </si>
  <si>
    <t>Inundación</t>
  </si>
  <si>
    <t>Hurto</t>
  </si>
  <si>
    <t>Covid-19</t>
  </si>
  <si>
    <t>Colapso estructural</t>
  </si>
  <si>
    <t>Registro asistencia inducción/re inducción</t>
  </si>
  <si>
    <t>Certificado brigadista emitido por una empresa avalada</t>
  </si>
  <si>
    <t>Registro de asistencia a la capacitación</t>
  </si>
  <si>
    <t>Computador, impresora, y demás recursos técnicos que sean necesarios para cumplir con las capacitaciones programadas</t>
  </si>
  <si>
    <t>Asignación de espacios dentro o fuera de la empresa para realizar las capacitaciones</t>
  </si>
  <si>
    <t>PLAZO PARA EL CUMPLIMIENTO Y EJECUCIÓN DEL PLAN DE CAPACITACIÓN</t>
  </si>
  <si>
    <t>Investigación de IT, AT y EL</t>
  </si>
  <si>
    <t>Capacitar al VIGÍA/COPASST, jefe inmediato de los trabajadores en investigación de IT, AT y EL</t>
  </si>
  <si>
    <t>COPASST/VIGÍA, jefe inmediato de los trabajadores</t>
  </si>
  <si>
    <t>Inspecciones</t>
  </si>
  <si>
    <t>Capacitar acerca de inspección de instalaciones, máquinas, equipos y herramientas</t>
  </si>
  <si>
    <t>COPASST/VIGÍA, brigada de emergencias</t>
  </si>
  <si>
    <t>Indicadores del SG-SST</t>
  </si>
  <si>
    <t>Indicadores de estructura, proceso y resultado</t>
  </si>
  <si>
    <t xml:space="preserve">1 hora </t>
  </si>
  <si>
    <t>COPASST/VIGÍA</t>
  </si>
  <si>
    <t>Procedimiento comunicaciones internas y externas</t>
  </si>
  <si>
    <t>A quién comunicar cada aspecto del SG-SST</t>
  </si>
  <si>
    <t>Prevención de acoso laboral</t>
  </si>
  <si>
    <t>Medidas preventivas para prevenir el acoso laboral de acuerdo a la resolución 1010/2006</t>
  </si>
  <si>
    <t>Comité de convivencia laboral</t>
  </si>
  <si>
    <t>COPASST</t>
  </si>
  <si>
    <t>Brigada de emergencias</t>
  </si>
  <si>
    <t>Virus: definiciones, qué es, origen, principales factores de riesgo, consecuencias,  medidas de prevención.</t>
  </si>
  <si>
    <t>Bacterias: definiciones, qué es, origen, principales factores de riesgo, consecuencias,  medidas de prevención.</t>
  </si>
  <si>
    <t>Hongos, qué es, origen, principales factores de riesgo, consecuencias,  medidas de prevención.</t>
  </si>
  <si>
    <t>Parásitos: definiciones, qué es, origen, principales factores de riesgo, consecuencias,  medidas de prevención.</t>
  </si>
  <si>
    <t>Picaduras: definiciones, qué es, origen, principales factores de riesgo, consecuencias,  medidas de prevención.</t>
  </si>
  <si>
    <t>Mordeduras: definiciones, qué es, origen, principales factores de riesgo, consecuencias,  medidas de prevención.</t>
  </si>
  <si>
    <t>Fluidos y excrementos: definiciones, qué es, origen, principales factores de riesgo, consecuencias,  medidas de prevención.</t>
  </si>
  <si>
    <t>Iluminación: definiciones, qué es, principales factores de riesgo, consecuencias,  medidas de prevención.</t>
  </si>
  <si>
    <t>Ruido: definiciones, qué es, origen, principales factores de riesgo, consecuencias,  medidas de prevención.</t>
  </si>
  <si>
    <t>Vibración: definiciones, qué es, principales factores de riesgo, consecuencias,  medidas de prevención.</t>
  </si>
  <si>
    <t>Temperaturas extremas: definiciones, qué es, principales factores de riesgo, consecuencias,  medidas de prevención.</t>
  </si>
  <si>
    <t>Presión atmosférica: definiciones, qué es, principales factores de riesgo, consecuencias,  medidas de prevención.</t>
  </si>
  <si>
    <t>Radiaciones ionizantes: definiciones, qué es, principales factores de riesgo, consecuencias,  medidas de prevención.</t>
  </si>
  <si>
    <t>Radiaciones no ionizantes: definiciones, qué es, principales factores de riesgo, consecuencias,  medidas de prevención.</t>
  </si>
  <si>
    <t>Polvos orgánicos e inorgánicos: definiciones, qué es, principales factores de riesgo, consecuencias,  medidas de prevención.</t>
  </si>
  <si>
    <t>Fibras: definiciones, qué es, principales factores de riesgo, consecuencias,  medidas de prevención.</t>
  </si>
  <si>
    <t>Líquidos: definiciones, qué es, principales factores de riesgo, consecuencias,  medidas de prevención.</t>
  </si>
  <si>
    <t>Gases y vapores: definiciones, qué es, principales factores de riesgo, consecuencias,  medidas de prevención.</t>
  </si>
  <si>
    <t>Humos metalicos y no metalicos: definiciones, qué es, principales factores de riesgo, consecuencias,  medidas de prevención.</t>
  </si>
  <si>
    <t>Material particulado: definiciones, qué es, principales factores de riesgo, consecuencias,  medidas de prevención.</t>
  </si>
  <si>
    <t>Gestión organizacional definiciones, qué es, principales factores de riesgo, consecuencias,  medidas de prevención.</t>
  </si>
  <si>
    <t>Riesgo químico</t>
  </si>
  <si>
    <t>Postura de trabajo: definiciones, qué es, principales factores de riesgo, consecuencias,  medidas de prevención.</t>
  </si>
  <si>
    <t>Esfuerzo: definiciones, qué es, principales factores de riesgo, consecuencias,  medidas de prevención.</t>
  </si>
  <si>
    <t>Movimientos repetitivos: definiciones, qué es, principales factores de riesgo, consecuencias,  medidas de prevención.</t>
  </si>
  <si>
    <t>Manipulación manual de cargas: definiciones, qué es, principales factores de riesgo, consecuencias,  medidas de prevención.</t>
  </si>
  <si>
    <t>Mecánico: elementos de máquinas, herramientas, piezas a trabajar, materiales proyectados, principales factores de riesgo, consecuencias, medidas de prevención.</t>
  </si>
  <si>
    <t>Eléctrico:alta y baja tensión, definiciones, qué es, principales factores de riesgo, consecuencias,  medidas de prevención.</t>
  </si>
  <si>
    <t>Locativo:almacenamiento de superficies de trabajo, caídas a mismo y distinto nivel, condiciones de orden y aseo, caídas de objetos, definiciones, qué es, principales factores de riesgo, consecuencias,  medidas de prevención.</t>
  </si>
  <si>
    <t>Tecnológicos: definiciones explosión, fuga, derrame, incendios, qué es, principales factores de riesgo, consecuencias,  medidas de prevención.</t>
  </si>
  <si>
    <t>Accidentes de tránsito: definiciones, qué es, principales factores de riesgo, consecuencias,  medidas de prevención.</t>
  </si>
  <si>
    <t>Públicos: definiciones robos, atracos, asaltos, atentados, desorden público, qué es, principales factores de riesgo, consecuencias,  medidas de prevención.</t>
  </si>
  <si>
    <t>Condiciones de seguridad</t>
  </si>
  <si>
    <t>Vendabal: definiciones, qué es, principales factores de riesgo, consecuencias,  medidas de prevención.</t>
  </si>
  <si>
    <t>Sismo/Terremoto: definiciones, qué es, principales factores de riesgo, consecuencias,  medidas de prevención.</t>
  </si>
  <si>
    <t>Inundación: definiciones, qué es, principales factores de riesgo, consecuencias,  medidas de prevención.</t>
  </si>
  <si>
    <t>Derrumbe: definiciones, qué es, principales factores de riesgo, consecuencias,  medidas de prevención.</t>
  </si>
  <si>
    <t>Precipitaciones: definiciones, qué es, principales factores de riesgo, consecuencias,  medidas de prevención.</t>
  </si>
  <si>
    <t>Fenómenos naturales</t>
  </si>
  <si>
    <t>Características de la organización: definiciones, qué es, principales factores de riesgo, consecuencias,  medidas de prevención.</t>
  </si>
  <si>
    <t>Características del grupo social de trabajo: qué es, principales factores de riesgo, consecuencias,  medidas de prevención.</t>
  </si>
  <si>
    <t>Condiciones de la tarea: qué es, principales factores de riesgo, consecuencias,  medidas de prevención.</t>
  </si>
  <si>
    <t>Interfase persona tarea: definiciones, qué es, principales factores de riesgo, consecuencias,  medidas de prevención.</t>
  </si>
  <si>
    <t>Jornada de trabajo: definiciones, qué es, principales factores de riesgo, consecuencias,  medidas de prevención.</t>
  </si>
  <si>
    <t>Riesgo psicosocial</t>
  </si>
  <si>
    <t>Trabajo en alturas: definiciones, qué es, principales factores de riesgo, consecuencias,  medidas de prevención.</t>
  </si>
  <si>
    <t>Espacios confinados: definiciones, qué es, principales factores de riesgo, consecuencias,  medidas de prevención.</t>
  </si>
  <si>
    <t>LOGO EMPRESA</t>
  </si>
  <si>
    <t>CODIGO: XXXXXXXX                                        VERSIÓN:  X                                                                FECHA ELABORACIÓN:                                             XXXXXXXXX</t>
  </si>
  <si>
    <t>Establecer las capacitaciones que deben realizarse de forma periódica, durante el año 2021, en la empresa XXXXXXXXXXXXXXXXXXXXXX.</t>
  </si>
  <si>
    <t>FECHA PLANEADA DEL CUMPLIMIENTO DEL PLAN DE CAPACITACIÓN:</t>
  </si>
  <si>
    <t>CUMPLIMIENTO DEL PLAN DE CAPACITACIÓN</t>
  </si>
  <si>
    <t>Aplica para todos los trabajadores de la empresa, independientemente de su forma de contratación</t>
  </si>
  <si>
    <t>2hora</t>
  </si>
  <si>
    <t>Empleador contrate a bomberos</t>
  </si>
  <si>
    <t>Todos los trabajadores, contratistas y sub contratistas que maniuplen herramientas</t>
  </si>
  <si>
    <t>Todos los trabajadores que manipulen máquinas, equipos y herramientas</t>
  </si>
  <si>
    <t>Riesgo físico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</si>
</sst>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2]* #,##0.00_-;\-[$€-2]* #,##0.00_-;_-[$€-2]* &quot;-&quot;??_-"/>
  </numFmts>
  <fonts count="41" x14ac:knownFonts="1">
    <font>
      <sz val="10"/>
      <name val="Arial"/>
    </font>
    <font>
      <sz val="11"/>
      <color theme="1"/>
      <name val="Calibri"/>
      <family val="2"/>
      <scheme val="minor"/>
    </font>
    <font>
      <sz val="10"/>
      <name val="Arial"/>
    </font>
    <font>
      <sz val="11"/>
      <color indexed="8"/>
      <name val="Calibri"/>
      <family val="2"/>
    </font>
    <font>
      <sz val="11"/>
      <color indexed="9"/>
      <name val="Calibri"/>
      <family val="2"/>
    </font>
    <font>
      <sz val="11"/>
      <color indexed="52"/>
      <name val="Calibri"/>
      <family val="2"/>
    </font>
    <font>
      <b/>
      <sz val="11"/>
      <color indexed="56"/>
      <name val="Calibri"/>
      <family val="2"/>
    </font>
    <font>
      <sz val="11"/>
      <color indexed="62"/>
      <name val="Calibri"/>
      <family val="2"/>
    </font>
    <font>
      <sz val="10"/>
      <name val="Arial Narrow"/>
      <family val="2"/>
    </font>
    <font>
      <sz val="11"/>
      <color indexed="20"/>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8"/>
      <name val="Arial"/>
      <family val="2"/>
    </font>
    <font>
      <b/>
      <sz val="11"/>
      <name val="Arial"/>
      <family val="2"/>
    </font>
    <font>
      <b/>
      <sz val="18"/>
      <name val="Arial"/>
      <family val="2"/>
    </font>
    <font>
      <sz val="9"/>
      <name val="Arial"/>
      <family val="2"/>
    </font>
    <font>
      <b/>
      <sz val="11"/>
      <color indexed="10"/>
      <name val="Arial"/>
      <family val="2"/>
    </font>
    <font>
      <sz val="14"/>
      <name val="Arial"/>
      <family val="2"/>
    </font>
    <font>
      <sz val="11"/>
      <name val="Arial"/>
      <family val="2"/>
    </font>
    <font>
      <sz val="11"/>
      <color indexed="8"/>
      <name val="Arial"/>
      <family val="2"/>
    </font>
    <font>
      <sz val="11"/>
      <color indexed="21"/>
      <name val="Arial"/>
      <family val="2"/>
    </font>
    <font>
      <b/>
      <sz val="11"/>
      <color indexed="8"/>
      <name val="Arial"/>
      <family val="2"/>
    </font>
    <font>
      <b/>
      <sz val="11"/>
      <color indexed="21"/>
      <name val="Arial"/>
      <family val="2"/>
    </font>
    <font>
      <sz val="11"/>
      <color theme="1"/>
      <name val="Arial"/>
      <family val="2"/>
    </font>
    <font>
      <b/>
      <sz val="14"/>
      <color theme="0"/>
      <name val="Arial"/>
      <family val="2"/>
    </font>
    <font>
      <b/>
      <sz val="11"/>
      <color theme="0"/>
      <name val="Arial"/>
      <family val="2"/>
    </font>
    <font>
      <b/>
      <sz val="12"/>
      <color theme="0" tint="-4.9989318521683403E-2"/>
      <name val="Arial"/>
      <family val="2"/>
    </font>
    <font>
      <b/>
      <sz val="11"/>
      <color theme="0" tint="-4.9989318521683403E-2"/>
      <name val="Arial"/>
      <family val="2"/>
    </font>
    <font>
      <b/>
      <sz val="10"/>
      <color theme="0" tint="-4.9989318521683403E-2"/>
      <name val="Arial"/>
      <family val="2"/>
    </font>
    <font>
      <sz val="10"/>
      <color theme="2" tint="-0.89999084444715716"/>
      <name val="Arial"/>
      <family val="2"/>
    </font>
    <font>
      <b/>
      <sz val="11"/>
      <color theme="1"/>
      <name val="Arial"/>
      <family val="2"/>
    </font>
    <font>
      <b/>
      <sz val="14"/>
      <color theme="0" tint="-4.9989318521683403E-2"/>
      <name val="Arial"/>
      <family val="2"/>
    </font>
    <font>
      <u/>
      <sz val="10"/>
      <name val="Arial"/>
      <family val="2"/>
    </font>
    <font>
      <sz val="9"/>
      <color indexed="81"/>
      <name val="Tahoma"/>
      <charset val="1"/>
    </font>
    <font>
      <b/>
      <sz val="9"/>
      <color indexed="81"/>
      <name val="Tahoma"/>
      <charset val="1"/>
    </font>
    <font>
      <b/>
      <sz val="12"/>
      <name val="Arial"/>
      <family val="2"/>
    </font>
    <font>
      <sz val="10"/>
      <color theme="1"/>
      <name val="Arial"/>
      <family val="2"/>
    </font>
    <font>
      <b/>
      <sz val="9"/>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rgb="FFFF0000"/>
        <bgColor indexed="64"/>
      </patternFill>
    </fill>
    <fill>
      <patternFill patternType="solid">
        <fgColor rgb="FF00B050"/>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9" tint="0.59999389629810485"/>
        <bgColor indexed="64"/>
      </patternFill>
    </fill>
    <fill>
      <patternFill patternType="solid">
        <fgColor theme="0"/>
        <bgColor indexed="64"/>
      </patternFill>
    </fill>
  </fills>
  <borders count="17">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38">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5" fillId="0" borderId="2" applyNumberFormat="0" applyFill="0" applyAlignment="0" applyProtection="0"/>
    <xf numFmtId="0" fontId="6" fillId="0" borderId="0" applyNumberFormat="0" applyFill="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20" borderId="0" applyNumberFormat="0" applyBorder="0" applyAlignment="0" applyProtection="0"/>
    <xf numFmtId="0" fontId="7" fillId="7" borderId="1" applyNumberFormat="0" applyAlignment="0" applyProtection="0"/>
    <xf numFmtId="164" fontId="8" fillId="0" borderId="0" applyFont="0" applyFill="0" applyBorder="0" applyAlignment="0" applyProtection="0"/>
    <xf numFmtId="0" fontId="9" fillId="3" borderId="0" applyNumberFormat="0" applyBorder="0" applyAlignment="0" applyProtection="0"/>
    <xf numFmtId="0" fontId="10" fillId="21" borderId="0" applyNumberFormat="0" applyBorder="0" applyAlignment="0" applyProtection="0"/>
    <xf numFmtId="17" fontId="11" fillId="0" borderId="0"/>
    <xf numFmtId="9" fontId="2" fillId="0" borderId="0" applyFont="0" applyFill="0" applyBorder="0" applyAlignment="0" applyProtection="0"/>
    <xf numFmtId="9" fontId="11" fillId="0" borderId="0" applyFont="0" applyFill="0" applyBorder="0" applyAlignment="0" applyProtection="0"/>
    <xf numFmtId="0" fontId="12" fillId="16" borderId="3" applyNumberFormat="0" applyAlignment="0" applyProtection="0"/>
    <xf numFmtId="0" fontId="13" fillId="0" borderId="0" applyNumberFormat="0" applyFill="0" applyBorder="0" applyAlignment="0" applyProtection="0"/>
    <xf numFmtId="0" fontId="14" fillId="0" borderId="4" applyNumberFormat="0" applyFill="0" applyAlignment="0" applyProtection="0"/>
    <xf numFmtId="0" fontId="1" fillId="0" borderId="0"/>
  </cellStyleXfs>
  <cellXfs count="75">
    <xf numFmtId="0" fontId="0" fillId="0" borderId="0" xfId="0"/>
    <xf numFmtId="0" fontId="15" fillId="0" borderId="0" xfId="0" applyFont="1"/>
    <xf numFmtId="0" fontId="15" fillId="0" borderId="0" xfId="0" applyFont="1" applyFill="1"/>
    <xf numFmtId="0" fontId="18" fillId="0" borderId="0" xfId="0" applyFont="1" applyBorder="1"/>
    <xf numFmtId="0" fontId="18" fillId="0" borderId="0" xfId="0" applyFont="1"/>
    <xf numFmtId="0" fontId="11" fillId="0" borderId="0" xfId="0" applyFont="1"/>
    <xf numFmtId="0" fontId="18" fillId="0" borderId="0" xfId="0" applyFont="1" applyAlignment="1">
      <alignment horizontal="center"/>
    </xf>
    <xf numFmtId="1" fontId="26" fillId="0" borderId="5" xfId="31" applyNumberFormat="1" applyFont="1" applyFill="1" applyBorder="1" applyAlignment="1" applyProtection="1">
      <alignment horizontal="center" vertical="center"/>
      <protection locked="0"/>
    </xf>
    <xf numFmtId="0" fontId="16" fillId="23" borderId="5" xfId="0" applyFont="1" applyFill="1" applyBorder="1" applyAlignment="1">
      <alignment horizontal="center" vertical="center" wrapText="1"/>
    </xf>
    <xf numFmtId="0" fontId="16" fillId="24" borderId="5" xfId="0" applyFont="1" applyFill="1" applyBorder="1" applyAlignment="1">
      <alignment horizontal="center" vertical="center" wrapText="1"/>
    </xf>
    <xf numFmtId="9" fontId="21" fillId="24" borderId="5" xfId="0" applyNumberFormat="1" applyFont="1" applyFill="1" applyBorder="1" applyAlignment="1">
      <alignment horizontal="center" vertical="center"/>
    </xf>
    <xf numFmtId="0" fontId="16" fillId="22" borderId="5" xfId="0" applyFont="1" applyFill="1" applyBorder="1" applyAlignment="1">
      <alignment horizontal="center" vertical="center" wrapText="1"/>
    </xf>
    <xf numFmtId="1" fontId="16" fillId="0" borderId="5" xfId="0" applyNumberFormat="1" applyFont="1" applyFill="1" applyBorder="1" applyAlignment="1">
      <alignment horizontal="center" vertical="center" wrapText="1"/>
    </xf>
    <xf numFmtId="1" fontId="16" fillId="0" borderId="5" xfId="0" applyNumberFormat="1" applyFont="1" applyBorder="1" applyAlignment="1">
      <alignment horizontal="center" vertical="center" wrapText="1"/>
    </xf>
    <xf numFmtId="0" fontId="11" fillId="27" borderId="5" xfId="0" applyFont="1" applyFill="1" applyBorder="1" applyAlignment="1">
      <alignment horizontal="center" vertical="center" wrapText="1"/>
    </xf>
    <xf numFmtId="0" fontId="21" fillId="0" borderId="5" xfId="0" applyFont="1" applyFill="1" applyBorder="1" applyAlignment="1">
      <alignment horizontal="center" vertical="center" wrapText="1"/>
    </xf>
    <xf numFmtId="9" fontId="26" fillId="0" borderId="5" xfId="32" applyFont="1" applyFill="1" applyBorder="1" applyAlignment="1" applyProtection="1">
      <alignment horizontal="center" vertical="center"/>
      <protection locked="0"/>
    </xf>
    <xf numFmtId="17" fontId="32" fillId="0" borderId="5" xfId="31" applyFont="1" applyFill="1" applyBorder="1" applyAlignment="1" applyProtection="1">
      <alignment horizontal="center" vertical="center" wrapText="1"/>
      <protection locked="0"/>
    </xf>
    <xf numFmtId="17" fontId="32" fillId="27" borderId="5" xfId="31" applyFont="1" applyFill="1" applyBorder="1" applyAlignment="1" applyProtection="1">
      <alignment horizontal="center" vertical="center" wrapText="1"/>
      <protection locked="0"/>
    </xf>
    <xf numFmtId="0" fontId="39" fillId="27" borderId="6" xfId="0" applyFont="1" applyFill="1" applyBorder="1" applyAlignment="1">
      <alignment horizontal="center" vertical="center" wrapText="1"/>
    </xf>
    <xf numFmtId="0" fontId="39" fillId="27" borderId="9" xfId="0" applyFont="1" applyFill="1" applyBorder="1" applyAlignment="1">
      <alignment horizontal="center" vertical="center" wrapText="1"/>
    </xf>
    <xf numFmtId="17" fontId="29" fillId="25" borderId="6" xfId="31" applyFont="1" applyFill="1" applyBorder="1" applyAlignment="1" applyProtection="1">
      <alignment horizontal="center" vertical="center" wrapText="1"/>
    </xf>
    <xf numFmtId="17" fontId="29" fillId="25" borderId="16" xfId="31" applyFont="1" applyFill="1" applyBorder="1" applyAlignment="1" applyProtection="1">
      <alignment horizontal="center" vertical="center" wrapText="1"/>
    </xf>
    <xf numFmtId="0" fontId="16" fillId="0" borderId="5" xfId="0" applyFont="1" applyBorder="1" applyAlignment="1">
      <alignment horizontal="center" vertical="center" wrapText="1"/>
    </xf>
    <xf numFmtId="17" fontId="30" fillId="25" borderId="8" xfId="31" applyFont="1" applyFill="1" applyBorder="1" applyAlignment="1" applyProtection="1">
      <alignment horizontal="center" vertical="center"/>
    </xf>
    <xf numFmtId="17" fontId="30" fillId="25" borderId="13" xfId="31" applyFont="1" applyFill="1" applyBorder="1" applyAlignment="1" applyProtection="1">
      <alignment horizontal="center" vertical="center"/>
    </xf>
    <xf numFmtId="17" fontId="30" fillId="25" borderId="14" xfId="31" applyFont="1" applyFill="1" applyBorder="1" applyAlignment="1" applyProtection="1">
      <alignment horizontal="center" vertical="center"/>
    </xf>
    <xf numFmtId="17" fontId="30" fillId="25" borderId="15" xfId="31" applyFont="1" applyFill="1" applyBorder="1" applyAlignment="1" applyProtection="1">
      <alignment horizontal="center" vertical="center"/>
    </xf>
    <xf numFmtId="9" fontId="21" fillId="24" borderId="5" xfId="0" applyNumberFormat="1" applyFont="1" applyFill="1" applyBorder="1" applyAlignment="1">
      <alignment horizontal="center" vertical="center" wrapText="1"/>
    </xf>
    <xf numFmtId="9" fontId="21" fillId="24" borderId="5" xfId="0" applyNumberFormat="1" applyFont="1" applyFill="1" applyBorder="1" applyAlignment="1">
      <alignment horizontal="center" vertical="center"/>
    </xf>
    <xf numFmtId="0" fontId="16" fillId="0" borderId="5" xfId="0" applyFont="1" applyFill="1" applyBorder="1" applyAlignment="1">
      <alignment horizontal="center" vertical="center" wrapText="1"/>
    </xf>
    <xf numFmtId="1" fontId="21" fillId="0" borderId="5" xfId="0" applyNumberFormat="1" applyFont="1" applyFill="1" applyBorder="1" applyAlignment="1">
      <alignment horizontal="center" vertical="center" wrapText="1"/>
    </xf>
    <xf numFmtId="1" fontId="21" fillId="0" borderId="5" xfId="0" applyNumberFormat="1" applyFont="1" applyBorder="1" applyAlignment="1">
      <alignment horizontal="center" vertical="center" wrapText="1"/>
    </xf>
    <xf numFmtId="0" fontId="28" fillId="25" borderId="5" xfId="0" applyFont="1" applyFill="1" applyBorder="1" applyAlignment="1">
      <alignment horizontal="center" vertical="center" wrapText="1"/>
    </xf>
    <xf numFmtId="1" fontId="26" fillId="0" borderId="5" xfId="32" applyNumberFormat="1" applyFont="1" applyFill="1" applyBorder="1" applyAlignment="1" applyProtection="1">
      <alignment horizontal="center" vertical="center"/>
      <protection locked="0"/>
    </xf>
    <xf numFmtId="0" fontId="16" fillId="24" borderId="5" xfId="0" applyFont="1" applyFill="1" applyBorder="1" applyAlignment="1">
      <alignment horizontal="center" vertical="center" wrapText="1"/>
    </xf>
    <xf numFmtId="0" fontId="21" fillId="0" borderId="7"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7" fillId="25" borderId="5" xfId="0" applyFont="1" applyFill="1" applyBorder="1" applyAlignment="1">
      <alignment horizontal="center" vertical="center"/>
    </xf>
    <xf numFmtId="0" fontId="33" fillId="24" borderId="5" xfId="0" applyFont="1" applyFill="1" applyBorder="1" applyAlignment="1">
      <alignment horizontal="center" vertical="center"/>
    </xf>
    <xf numFmtId="0" fontId="27" fillId="0" borderId="5" xfId="0" applyFont="1" applyFill="1" applyBorder="1" applyAlignment="1">
      <alignment horizontal="center" vertical="center"/>
    </xf>
    <xf numFmtId="0" fontId="16" fillId="24" borderId="5" xfId="0" applyFont="1" applyFill="1" applyBorder="1" applyAlignment="1">
      <alignment horizontal="center" vertical="center"/>
    </xf>
    <xf numFmtId="0" fontId="18" fillId="0" borderId="5" xfId="0" applyFont="1" applyBorder="1" applyAlignment="1">
      <alignment horizontal="center"/>
    </xf>
    <xf numFmtId="0" fontId="11" fillId="0" borderId="5" xfId="0" applyFont="1" applyBorder="1" applyAlignment="1">
      <alignment horizontal="center" vertical="center" wrapText="1"/>
    </xf>
    <xf numFmtId="0" fontId="34" fillId="25" borderId="7" xfId="0" applyFont="1" applyFill="1" applyBorder="1" applyAlignment="1">
      <alignment horizontal="center" vertical="center"/>
    </xf>
    <xf numFmtId="0" fontId="34" fillId="25" borderId="10" xfId="0" applyFont="1" applyFill="1" applyBorder="1" applyAlignment="1">
      <alignment horizontal="center" vertical="center"/>
    </xf>
    <xf numFmtId="0" fontId="34" fillId="25" borderId="11" xfId="0" applyFont="1" applyFill="1" applyBorder="1" applyAlignment="1">
      <alignment horizontal="center" vertical="center"/>
    </xf>
    <xf numFmtId="17" fontId="31" fillId="25" borderId="6" xfId="31" applyFont="1" applyFill="1" applyBorder="1" applyAlignment="1" applyProtection="1">
      <alignment horizontal="center" vertical="center"/>
    </xf>
    <xf numFmtId="17" fontId="31" fillId="25" borderId="9" xfId="31" applyFont="1" applyFill="1" applyBorder="1" applyAlignment="1" applyProtection="1">
      <alignment horizontal="center" vertical="center"/>
    </xf>
    <xf numFmtId="17" fontId="29" fillId="25" borderId="8" xfId="31" applyFont="1" applyFill="1" applyBorder="1" applyAlignment="1" applyProtection="1">
      <alignment horizontal="center" vertical="center" wrapText="1"/>
    </xf>
    <xf numFmtId="17" fontId="29" fillId="25" borderId="14" xfId="31" applyFont="1" applyFill="1" applyBorder="1" applyAlignment="1" applyProtection="1">
      <alignment horizontal="center" vertical="center" wrapText="1"/>
    </xf>
    <xf numFmtId="17" fontId="30" fillId="25" borderId="5" xfId="31" applyFont="1" applyFill="1" applyBorder="1" applyAlignment="1" applyProtection="1">
      <alignment horizontal="center" vertical="center"/>
    </xf>
    <xf numFmtId="17" fontId="30" fillId="25" borderId="6" xfId="31" applyFont="1" applyFill="1" applyBorder="1" applyAlignment="1" applyProtection="1">
      <alignment horizontal="center" vertical="center"/>
    </xf>
    <xf numFmtId="17" fontId="29" fillId="25" borderId="13" xfId="31" applyFont="1" applyFill="1" applyBorder="1" applyAlignment="1" applyProtection="1">
      <alignment horizontal="center" vertical="center" wrapText="1"/>
    </xf>
    <xf numFmtId="17" fontId="29" fillId="25" borderId="15" xfId="31" applyFont="1" applyFill="1" applyBorder="1" applyAlignment="1" applyProtection="1">
      <alignment horizontal="center" vertical="center" wrapText="1"/>
    </xf>
    <xf numFmtId="1" fontId="26" fillId="0" borderId="8" xfId="31" applyNumberFormat="1" applyFont="1" applyFill="1" applyBorder="1" applyAlignment="1" applyProtection="1">
      <alignment horizontal="center" vertical="center" wrapText="1"/>
      <protection locked="0"/>
    </xf>
    <xf numFmtId="1" fontId="26" fillId="0" borderId="12" xfId="31" applyNumberFormat="1" applyFont="1" applyFill="1" applyBorder="1" applyAlignment="1" applyProtection="1">
      <alignment horizontal="center" vertical="center" wrapText="1"/>
      <protection locked="0"/>
    </xf>
    <xf numFmtId="1" fontId="26" fillId="0" borderId="13" xfId="31" applyNumberFormat="1" applyFont="1" applyFill="1" applyBorder="1" applyAlignment="1" applyProtection="1">
      <alignment horizontal="center" vertical="center" wrapText="1"/>
      <protection locked="0"/>
    </xf>
    <xf numFmtId="0" fontId="27" fillId="25" borderId="5" xfId="0" applyFont="1" applyFill="1" applyBorder="1" applyAlignment="1">
      <alignment horizontal="center" vertical="center" wrapText="1"/>
    </xf>
    <xf numFmtId="0" fontId="21" fillId="0" borderId="5" xfId="0" applyFont="1" applyBorder="1" applyAlignment="1">
      <alignment horizontal="center" vertical="center" wrapText="1"/>
    </xf>
    <xf numFmtId="0" fontId="21" fillId="0" borderId="5" xfId="0" applyFont="1" applyBorder="1" applyAlignment="1">
      <alignment horizontal="center" vertical="center"/>
    </xf>
    <xf numFmtId="0" fontId="17" fillId="27" borderId="5" xfId="0" applyFont="1" applyFill="1" applyBorder="1" applyAlignment="1">
      <alignment horizontal="center" vertical="center" wrapText="1"/>
    </xf>
    <xf numFmtId="0" fontId="40" fillId="27" borderId="5" xfId="0" applyFont="1" applyFill="1" applyBorder="1" applyAlignment="1">
      <alignment horizontal="center" vertical="center"/>
    </xf>
    <xf numFmtId="0" fontId="38" fillId="27" borderId="6" xfId="0" applyFont="1" applyFill="1" applyBorder="1" applyAlignment="1">
      <alignment horizontal="left" vertical="top" wrapText="1"/>
    </xf>
    <xf numFmtId="0" fontId="38" fillId="27" borderId="9" xfId="0" applyFont="1" applyFill="1" applyBorder="1" applyAlignment="1">
      <alignment horizontal="left" vertical="top" wrapText="1"/>
    </xf>
    <xf numFmtId="0" fontId="29" fillId="25" borderId="7" xfId="0" applyFont="1" applyFill="1" applyBorder="1" applyAlignment="1">
      <alignment horizontal="center" vertical="center" wrapText="1"/>
    </xf>
    <xf numFmtId="0" fontId="29" fillId="25" borderId="10" xfId="0" applyFont="1" applyFill="1" applyBorder="1" applyAlignment="1">
      <alignment horizontal="center" vertical="center" wrapText="1"/>
    </xf>
    <xf numFmtId="0" fontId="29" fillId="25" borderId="11" xfId="0" applyFont="1" applyFill="1" applyBorder="1" applyAlignment="1">
      <alignment horizontal="center" vertical="center" wrapText="1"/>
    </xf>
    <xf numFmtId="0" fontId="20" fillId="26" borderId="7" xfId="0" applyFont="1" applyFill="1" applyBorder="1" applyAlignment="1">
      <alignment horizontal="center" vertical="center" wrapText="1"/>
    </xf>
    <xf numFmtId="0" fontId="20" fillId="26" borderId="10" xfId="0" applyFont="1" applyFill="1" applyBorder="1" applyAlignment="1">
      <alignment horizontal="center" vertical="center" wrapText="1"/>
    </xf>
    <xf numFmtId="0" fontId="20" fillId="26" borderId="11" xfId="0" applyFont="1" applyFill="1" applyBorder="1" applyAlignment="1">
      <alignment horizontal="center" vertical="center" wrapText="1"/>
    </xf>
    <xf numFmtId="0" fontId="11" fillId="27" borderId="6" xfId="0" applyFont="1" applyFill="1" applyBorder="1" applyAlignment="1">
      <alignment horizontal="center" vertical="center" wrapText="1"/>
    </xf>
    <xf numFmtId="0" fontId="11" fillId="27" borderId="16" xfId="0" applyFont="1" applyFill="1" applyBorder="1" applyAlignment="1">
      <alignment horizontal="center" vertical="center" wrapText="1"/>
    </xf>
    <xf numFmtId="0" fontId="11" fillId="27" borderId="9" xfId="0" applyFont="1" applyFill="1" applyBorder="1" applyAlignment="1">
      <alignment horizontal="center" vertical="center" wrapText="1"/>
    </xf>
  </cellXfs>
  <cellStyles count="38">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elda vinculada" xfId="19" builtinId="24" customBuiltin="1"/>
    <cellStyle name="Encabezado 4" xfId="20" builtinId="19" customBuiltin="1"/>
    <cellStyle name="Énfasis1" xfId="21" builtinId="29" customBuiltin="1"/>
    <cellStyle name="Énfasis2" xfId="22" builtinId="33" customBuiltin="1"/>
    <cellStyle name="Énfasis3" xfId="23" builtinId="37" customBuiltin="1"/>
    <cellStyle name="Énfasis4" xfId="24" builtinId="41" customBuiltin="1"/>
    <cellStyle name="Énfasis5" xfId="25" builtinId="45" customBuiltin="1"/>
    <cellStyle name="Énfasis6" xfId="26" builtinId="49" customBuiltin="1"/>
    <cellStyle name="Entrada" xfId="27" builtinId="20" customBuiltin="1"/>
    <cellStyle name="Euro" xfId="28"/>
    <cellStyle name="Incorrecto" xfId="29" builtinId="27" customBuiltin="1"/>
    <cellStyle name="Neutral" xfId="30" builtinId="28" customBuiltin="1"/>
    <cellStyle name="Normal" xfId="0" builtinId="0"/>
    <cellStyle name="Normal 2" xfId="37"/>
    <cellStyle name="Normal 3" xfId="31"/>
    <cellStyle name="Porcentaje" xfId="32" builtinId="5"/>
    <cellStyle name="Porcentual 2" xfId="33"/>
    <cellStyle name="Salida" xfId="34" builtinId="21" customBuiltin="1"/>
    <cellStyle name="Título" xfId="35" builtinId="15" customBuiltin="1"/>
    <cellStyle name="Total" xfId="36" builtinId="25" customBuiltin="1"/>
  </cellStyles>
  <dxfs count="150">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'1'!$F$175:$G$175</c:f>
              <c:strCache>
                <c:ptCount val="2"/>
                <c:pt idx="0">
                  <c:v>RESULTADO</c:v>
                </c:pt>
              </c:strCache>
            </c:strRef>
          </c:tx>
          <c:spPr>
            <a:solidFill>
              <a:srgbClr val="4F81BD"/>
            </a:solidFill>
            <a:ln w="25400">
              <a:noFill/>
            </a:ln>
          </c:spPr>
          <c:invertIfNegative val="0"/>
          <c:cat>
            <c:strRef>
              <c:f>'1'!$H$172:$U$172</c:f>
              <c:strCache>
                <c:ptCount val="13"/>
                <c:pt idx="0">
                  <c:v>ENE</c:v>
                </c:pt>
                <c:pt idx="1">
                  <c:v>FEB</c:v>
                </c:pt>
                <c:pt idx="2">
                  <c:v>MAR</c:v>
                </c:pt>
                <c:pt idx="3">
                  <c:v>ABR</c:v>
                </c:pt>
                <c:pt idx="4">
                  <c:v>MAY</c:v>
                </c:pt>
                <c:pt idx="5">
                  <c:v>JUN</c:v>
                </c:pt>
                <c:pt idx="6">
                  <c:v>JUL</c:v>
                </c:pt>
                <c:pt idx="7">
                  <c:v>AGO</c:v>
                </c:pt>
                <c:pt idx="8">
                  <c:v>SEP</c:v>
                </c:pt>
                <c:pt idx="9">
                  <c:v>OCT</c:v>
                </c:pt>
                <c:pt idx="10">
                  <c:v>NOV</c:v>
                </c:pt>
                <c:pt idx="11">
                  <c:v>DIC</c:v>
                </c:pt>
                <c:pt idx="12">
                  <c:v>TOTAL</c:v>
                </c:pt>
              </c:strCache>
            </c:strRef>
          </c:cat>
          <c:val>
            <c:numRef>
              <c:f>'1'!$H$175:$U$175</c:f>
              <c:numCache>
                <c:formatCode>0%</c:formatCode>
                <c:ptCount val="14"/>
                <c:pt idx="0">
                  <c:v>0.21428571428571427</c:v>
                </c:pt>
                <c:pt idx="1">
                  <c:v>0</c:v>
                </c:pt>
                <c:pt idx="2">
                  <c:v>0</c:v>
                </c:pt>
                <c:pt idx="3">
                  <c:v>0</c:v>
                </c:pt>
                <c:pt idx="4">
                  <c:v>0</c:v>
                </c:pt>
                <c:pt idx="5">
                  <c:v>0</c:v>
                </c:pt>
                <c:pt idx="6">
                  <c:v>0</c:v>
                </c:pt>
                <c:pt idx="7">
                  <c:v>0</c:v>
                </c:pt>
                <c:pt idx="8">
                  <c:v>0</c:v>
                </c:pt>
                <c:pt idx="9">
                  <c:v>0</c:v>
                </c:pt>
                <c:pt idx="10">
                  <c:v>0</c:v>
                </c:pt>
                <c:pt idx="11">
                  <c:v>0</c:v>
                </c:pt>
                <c:pt idx="12">
                  <c:v>4.0540540540540543E-2</c:v>
                </c:pt>
              </c:numCache>
            </c:numRef>
          </c:val>
          <c:extLst xmlns:c16r2="http://schemas.microsoft.com/office/drawing/2015/06/chart">
            <c:ext xmlns:c16="http://schemas.microsoft.com/office/drawing/2014/chart" uri="{C3380CC4-5D6E-409C-BE32-E72D297353CC}">
              <c16:uniqueId val="{00000000-FEDA-42DA-8BAD-CB011576380B}"/>
            </c:ext>
          </c:extLst>
        </c:ser>
        <c:dLbls>
          <c:showLegendKey val="0"/>
          <c:showVal val="0"/>
          <c:showCatName val="0"/>
          <c:showSerName val="0"/>
          <c:showPercent val="0"/>
          <c:showBubbleSize val="0"/>
        </c:dLbls>
        <c:gapWidth val="219"/>
        <c:overlap val="-27"/>
        <c:axId val="325269296"/>
        <c:axId val="325271648"/>
      </c:barChart>
      <c:lineChart>
        <c:grouping val="standard"/>
        <c:varyColors val="0"/>
        <c:ser>
          <c:idx val="1"/>
          <c:order val="1"/>
          <c:tx>
            <c:strRef>
              <c:f>'1'!$F$176:$G$176</c:f>
              <c:strCache>
                <c:ptCount val="2"/>
                <c:pt idx="0">
                  <c:v>META</c:v>
                </c:pt>
              </c:strCache>
            </c:strRef>
          </c:tx>
          <c:spPr>
            <a:ln w="28575" cap="rnd">
              <a:solidFill>
                <a:schemeClr val="accent2"/>
              </a:solidFill>
              <a:round/>
            </a:ln>
            <a:effectLst/>
          </c:spPr>
          <c:marker>
            <c:symbol val="none"/>
          </c:marker>
          <c:cat>
            <c:strRef>
              <c:f>'1'!$H$172:$U$172</c:f>
              <c:strCache>
                <c:ptCount val="13"/>
                <c:pt idx="0">
                  <c:v>ENE</c:v>
                </c:pt>
                <c:pt idx="1">
                  <c:v>FEB</c:v>
                </c:pt>
                <c:pt idx="2">
                  <c:v>MAR</c:v>
                </c:pt>
                <c:pt idx="3">
                  <c:v>ABR</c:v>
                </c:pt>
                <c:pt idx="4">
                  <c:v>MAY</c:v>
                </c:pt>
                <c:pt idx="5">
                  <c:v>JUN</c:v>
                </c:pt>
                <c:pt idx="6">
                  <c:v>JUL</c:v>
                </c:pt>
                <c:pt idx="7">
                  <c:v>AGO</c:v>
                </c:pt>
                <c:pt idx="8">
                  <c:v>SEP</c:v>
                </c:pt>
                <c:pt idx="9">
                  <c:v>OCT</c:v>
                </c:pt>
                <c:pt idx="10">
                  <c:v>NOV</c:v>
                </c:pt>
                <c:pt idx="11">
                  <c:v>DIC</c:v>
                </c:pt>
                <c:pt idx="12">
                  <c:v>TOTAL</c:v>
                </c:pt>
              </c:strCache>
            </c:strRef>
          </c:cat>
          <c:val>
            <c:numRef>
              <c:f>'1'!$H$176:$U$176</c:f>
              <c:numCache>
                <c:formatCode>0%</c:formatCode>
                <c:ptCount val="14"/>
                <c:pt idx="0">
                  <c:v>0.8</c:v>
                </c:pt>
                <c:pt idx="1">
                  <c:v>0.8</c:v>
                </c:pt>
                <c:pt idx="2">
                  <c:v>0.8</c:v>
                </c:pt>
                <c:pt idx="3">
                  <c:v>0.8</c:v>
                </c:pt>
                <c:pt idx="4">
                  <c:v>0.8</c:v>
                </c:pt>
                <c:pt idx="5">
                  <c:v>0.8</c:v>
                </c:pt>
                <c:pt idx="6">
                  <c:v>0.8</c:v>
                </c:pt>
                <c:pt idx="7">
                  <c:v>0.8</c:v>
                </c:pt>
                <c:pt idx="8">
                  <c:v>0.8</c:v>
                </c:pt>
                <c:pt idx="9">
                  <c:v>0.8</c:v>
                </c:pt>
                <c:pt idx="10">
                  <c:v>0.8</c:v>
                </c:pt>
                <c:pt idx="11">
                  <c:v>0.8</c:v>
                </c:pt>
                <c:pt idx="12">
                  <c:v>0.8</c:v>
                </c:pt>
              </c:numCache>
            </c:numRef>
          </c:val>
          <c:smooth val="0"/>
          <c:extLst xmlns:c16r2="http://schemas.microsoft.com/office/drawing/2015/06/chart">
            <c:ext xmlns:c16="http://schemas.microsoft.com/office/drawing/2014/chart" uri="{C3380CC4-5D6E-409C-BE32-E72D297353CC}">
              <c16:uniqueId val="{00000001-FEDA-42DA-8BAD-CB011576380B}"/>
            </c:ext>
          </c:extLst>
        </c:ser>
        <c:dLbls>
          <c:showLegendKey val="0"/>
          <c:showVal val="0"/>
          <c:showCatName val="0"/>
          <c:showSerName val="0"/>
          <c:showPercent val="0"/>
          <c:showBubbleSize val="0"/>
        </c:dLbls>
        <c:marker val="1"/>
        <c:smooth val="0"/>
        <c:axId val="325269296"/>
        <c:axId val="325271648"/>
      </c:lineChart>
      <c:catAx>
        <c:axId val="32526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25271648"/>
        <c:crosses val="autoZero"/>
        <c:auto val="1"/>
        <c:lblAlgn val="ctr"/>
        <c:lblOffset val="100"/>
        <c:noMultiLvlLbl val="0"/>
      </c:catAx>
      <c:valAx>
        <c:axId val="325271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25269296"/>
        <c:crosses val="autoZero"/>
        <c:crossBetween val="between"/>
      </c:valAx>
      <c:spPr>
        <a:noFill/>
        <a:ln w="25400">
          <a:noFill/>
        </a:ln>
      </c:spPr>
    </c:plotArea>
    <c:legend>
      <c:legendPos val="r"/>
      <c:layout>
        <c:manualLayout>
          <c:xMode val="edge"/>
          <c:yMode val="edge"/>
          <c:x val="0.31566011380916664"/>
          <c:y val="0.88708767884869877"/>
          <c:w val="0.3634070217803011"/>
          <c:h val="7.7649584620708381E-2"/>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406400</xdr:colOff>
      <xdr:row>171</xdr:row>
      <xdr:rowOff>114300</xdr:rowOff>
    </xdr:from>
    <xdr:to>
      <xdr:col>23</xdr:col>
      <xdr:colOff>2273300</xdr:colOff>
      <xdr:row>183</xdr:row>
      <xdr:rowOff>6350</xdr:rowOff>
    </xdr:to>
    <xdr:graphicFrame macro="">
      <xdr:nvGraphicFramePr>
        <xdr:cNvPr id="1030" name="Gráfico 1">
          <a:extLst>
            <a:ext uri="{FF2B5EF4-FFF2-40B4-BE49-F238E27FC236}">
              <a16:creationId xmlns:a16="http://schemas.microsoft.com/office/drawing/2014/main" xmlns="" id="{A23D690D-3614-4B89-AEC6-F9601E89F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249977111117893"/>
    <pageSetUpPr fitToPage="1"/>
  </sheetPr>
  <dimension ref="B1:Z184"/>
  <sheetViews>
    <sheetView showGridLines="0" tabSelected="1" topLeftCell="A72" zoomScale="77" zoomScaleNormal="77" zoomScaleSheetLayoutView="55" zoomScalePageLayoutView="70" workbookViewId="0">
      <selection activeCell="F72" sqref="F72:F73"/>
    </sheetView>
  </sheetViews>
  <sheetFormatPr baseColWidth="10" defaultColWidth="11.42578125" defaultRowHeight="12" x14ac:dyDescent="0.2"/>
  <cols>
    <col min="1" max="1" width="11.42578125" style="4"/>
    <col min="2" max="4" width="30.42578125" style="4" customWidth="1"/>
    <col min="5" max="5" width="35.140625" style="4" customWidth="1"/>
    <col min="6" max="6" width="36.7109375" style="4" customWidth="1"/>
    <col min="7" max="7" width="5.7109375" style="4" customWidth="1"/>
    <col min="8" max="19" width="6.7109375" style="4" customWidth="1"/>
    <col min="20" max="20" width="18.7109375" style="4" customWidth="1"/>
    <col min="21" max="21" width="9.28515625" style="4" customWidth="1"/>
    <col min="22" max="22" width="21.5703125" style="6" customWidth="1"/>
    <col min="23" max="23" width="25.42578125" style="6" customWidth="1"/>
    <col min="24" max="24" width="42.28515625" style="4" customWidth="1"/>
    <col min="25" max="16384" width="11.42578125" style="4"/>
  </cols>
  <sheetData>
    <row r="1" spans="2:26" ht="33" customHeight="1" x14ac:dyDescent="0.2">
      <c r="B1" s="63" t="s">
        <v>178</v>
      </c>
      <c r="C1" s="62" t="s">
        <v>44</v>
      </c>
      <c r="D1" s="62"/>
      <c r="E1" s="62"/>
      <c r="F1" s="62"/>
      <c r="G1" s="62"/>
      <c r="H1" s="62"/>
      <c r="I1" s="62"/>
      <c r="J1" s="62"/>
      <c r="K1" s="62"/>
      <c r="L1" s="62"/>
      <c r="M1" s="62"/>
      <c r="N1" s="62"/>
      <c r="O1" s="62"/>
      <c r="P1" s="62"/>
      <c r="Q1" s="62"/>
      <c r="R1" s="62"/>
      <c r="S1" s="62"/>
      <c r="T1" s="62"/>
      <c r="U1" s="62"/>
      <c r="V1" s="62"/>
      <c r="W1" s="62"/>
      <c r="X1" s="64" t="s">
        <v>179</v>
      </c>
      <c r="Y1" s="3"/>
    </row>
    <row r="2" spans="2:26" ht="33" customHeight="1" x14ac:dyDescent="0.2">
      <c r="B2" s="63"/>
      <c r="C2" s="62"/>
      <c r="D2" s="62"/>
      <c r="E2" s="62"/>
      <c r="F2" s="62"/>
      <c r="G2" s="62"/>
      <c r="H2" s="62"/>
      <c r="I2" s="62"/>
      <c r="J2" s="62"/>
      <c r="K2" s="62"/>
      <c r="L2" s="62"/>
      <c r="M2" s="62"/>
      <c r="N2" s="62"/>
      <c r="O2" s="62"/>
      <c r="P2" s="62"/>
      <c r="Q2" s="62"/>
      <c r="R2" s="62"/>
      <c r="S2" s="62"/>
      <c r="T2" s="62"/>
      <c r="U2" s="62"/>
      <c r="V2" s="62"/>
      <c r="W2" s="62"/>
      <c r="X2" s="65"/>
      <c r="Y2" s="3"/>
    </row>
    <row r="3" spans="2:26" ht="27.6" customHeight="1" x14ac:dyDescent="0.2">
      <c r="B3" s="45" t="s">
        <v>17</v>
      </c>
      <c r="C3" s="46"/>
      <c r="D3" s="46"/>
      <c r="E3" s="46"/>
      <c r="F3" s="46"/>
      <c r="G3" s="46"/>
      <c r="H3" s="46"/>
      <c r="I3" s="46"/>
      <c r="J3" s="46"/>
      <c r="K3" s="46"/>
      <c r="L3" s="46"/>
      <c r="M3" s="46"/>
      <c r="N3" s="46"/>
      <c r="O3" s="46"/>
      <c r="P3" s="46"/>
      <c r="Q3" s="46"/>
      <c r="R3" s="46"/>
      <c r="S3" s="46"/>
      <c r="T3" s="46"/>
      <c r="U3" s="46"/>
      <c r="V3" s="46"/>
      <c r="W3" s="46"/>
      <c r="X3" s="47"/>
    </row>
    <row r="4" spans="2:26" ht="52.9" customHeight="1" x14ac:dyDescent="0.2">
      <c r="B4" s="36" t="s">
        <v>180</v>
      </c>
      <c r="C4" s="37"/>
      <c r="D4" s="37"/>
      <c r="E4" s="37"/>
      <c r="F4" s="37"/>
      <c r="G4" s="37"/>
      <c r="H4" s="37"/>
      <c r="I4" s="37"/>
      <c r="J4" s="37"/>
      <c r="K4" s="37"/>
      <c r="L4" s="37"/>
      <c r="M4" s="37"/>
      <c r="N4" s="37"/>
      <c r="O4" s="37"/>
      <c r="P4" s="37"/>
      <c r="Q4" s="37"/>
      <c r="R4" s="37"/>
      <c r="S4" s="37"/>
      <c r="T4" s="37"/>
      <c r="U4" s="37"/>
      <c r="V4" s="37"/>
      <c r="W4" s="37"/>
      <c r="X4" s="38"/>
      <c r="Z4" s="5"/>
    </row>
    <row r="5" spans="2:26" ht="24" customHeight="1" x14ac:dyDescent="0.2">
      <c r="B5" s="45" t="s">
        <v>18</v>
      </c>
      <c r="C5" s="46"/>
      <c r="D5" s="46"/>
      <c r="E5" s="46"/>
      <c r="F5" s="46"/>
      <c r="G5" s="46"/>
      <c r="H5" s="46"/>
      <c r="I5" s="46"/>
      <c r="J5" s="46"/>
      <c r="K5" s="46"/>
      <c r="L5" s="46"/>
      <c r="M5" s="46"/>
      <c r="N5" s="46"/>
      <c r="O5" s="46"/>
      <c r="P5" s="46"/>
      <c r="Q5" s="46"/>
      <c r="R5" s="46"/>
      <c r="S5" s="46"/>
      <c r="T5" s="46"/>
      <c r="U5" s="46"/>
      <c r="V5" s="46"/>
      <c r="W5" s="46"/>
      <c r="X5" s="47"/>
    </row>
    <row r="6" spans="2:26" ht="33.75" customHeight="1" x14ac:dyDescent="0.2">
      <c r="B6" s="36" t="s">
        <v>183</v>
      </c>
      <c r="C6" s="37"/>
      <c r="D6" s="37"/>
      <c r="E6" s="37"/>
      <c r="F6" s="37"/>
      <c r="G6" s="37"/>
      <c r="H6" s="37"/>
      <c r="I6" s="37"/>
      <c r="J6" s="37"/>
      <c r="K6" s="37"/>
      <c r="L6" s="37"/>
      <c r="M6" s="37"/>
      <c r="N6" s="37"/>
      <c r="O6" s="37"/>
      <c r="P6" s="37"/>
      <c r="Q6" s="37"/>
      <c r="R6" s="37"/>
      <c r="S6" s="37"/>
      <c r="T6" s="37"/>
      <c r="U6" s="37"/>
      <c r="V6" s="37"/>
      <c r="W6" s="37"/>
      <c r="X6" s="38"/>
      <c r="Z6" s="5"/>
    </row>
    <row r="7" spans="2:26" ht="24" customHeight="1" x14ac:dyDescent="0.2">
      <c r="B7" s="45" t="s">
        <v>19</v>
      </c>
      <c r="C7" s="46"/>
      <c r="D7" s="46"/>
      <c r="E7" s="46"/>
      <c r="F7" s="46"/>
      <c r="G7" s="46"/>
      <c r="H7" s="46"/>
      <c r="I7" s="46"/>
      <c r="J7" s="46"/>
      <c r="K7" s="46"/>
      <c r="L7" s="46"/>
      <c r="M7" s="46"/>
      <c r="N7" s="46"/>
      <c r="O7" s="46"/>
      <c r="P7" s="46"/>
      <c r="Q7" s="46"/>
      <c r="R7" s="46"/>
      <c r="S7" s="46"/>
      <c r="T7" s="46"/>
      <c r="U7" s="46"/>
      <c r="V7" s="46"/>
      <c r="W7" s="46"/>
      <c r="X7" s="47"/>
    </row>
    <row r="8" spans="2:26" ht="21" customHeight="1" x14ac:dyDescent="0.2">
      <c r="B8" s="36" t="s">
        <v>45</v>
      </c>
      <c r="C8" s="37"/>
      <c r="D8" s="37"/>
      <c r="E8" s="37"/>
      <c r="F8" s="37"/>
      <c r="G8" s="37"/>
      <c r="H8" s="37"/>
      <c r="I8" s="37"/>
      <c r="J8" s="37"/>
      <c r="K8" s="37"/>
      <c r="L8" s="37"/>
      <c r="M8" s="37"/>
      <c r="N8" s="37"/>
      <c r="O8" s="37"/>
      <c r="P8" s="37"/>
      <c r="Q8" s="37"/>
      <c r="R8" s="37"/>
      <c r="S8" s="37"/>
      <c r="T8" s="37"/>
      <c r="U8" s="37"/>
      <c r="V8" s="37"/>
      <c r="W8" s="37"/>
      <c r="X8" s="38"/>
    </row>
    <row r="9" spans="2:26" ht="24" customHeight="1" x14ac:dyDescent="0.2">
      <c r="B9" s="45" t="s">
        <v>33</v>
      </c>
      <c r="C9" s="46"/>
      <c r="D9" s="46"/>
      <c r="E9" s="46"/>
      <c r="F9" s="46"/>
      <c r="G9" s="46"/>
      <c r="H9" s="46"/>
      <c r="I9" s="46"/>
      <c r="J9" s="46"/>
      <c r="K9" s="46"/>
      <c r="L9" s="46"/>
      <c r="M9" s="46"/>
      <c r="N9" s="46"/>
      <c r="O9" s="46"/>
      <c r="P9" s="46"/>
      <c r="Q9" s="46"/>
      <c r="R9" s="46"/>
      <c r="S9" s="46"/>
      <c r="T9" s="46"/>
      <c r="U9" s="46"/>
      <c r="V9" s="46"/>
      <c r="W9" s="46"/>
      <c r="X9" s="47"/>
    </row>
    <row r="10" spans="2:26" ht="21" customHeight="1" x14ac:dyDescent="0.2">
      <c r="B10" s="66" t="s">
        <v>181</v>
      </c>
      <c r="C10" s="67"/>
      <c r="D10" s="67"/>
      <c r="E10" s="67"/>
      <c r="F10" s="67"/>
      <c r="G10" s="68"/>
      <c r="H10" s="69" t="s">
        <v>41</v>
      </c>
      <c r="I10" s="70"/>
      <c r="J10" s="70"/>
      <c r="K10" s="70"/>
      <c r="L10" s="70"/>
      <c r="M10" s="70"/>
      <c r="N10" s="70"/>
      <c r="O10" s="70"/>
      <c r="P10" s="70"/>
      <c r="Q10" s="70"/>
      <c r="R10" s="70"/>
      <c r="S10" s="70"/>
      <c r="T10" s="70"/>
      <c r="U10" s="70"/>
      <c r="V10" s="70"/>
      <c r="W10" s="70"/>
      <c r="X10" s="71"/>
    </row>
    <row r="11" spans="2:26" s="5" customFormat="1" ht="22.5" customHeight="1" x14ac:dyDescent="0.2">
      <c r="B11" s="21" t="s">
        <v>46</v>
      </c>
      <c r="C11" s="21" t="s">
        <v>47</v>
      </c>
      <c r="D11" s="21" t="s">
        <v>48</v>
      </c>
      <c r="E11" s="21" t="s">
        <v>49</v>
      </c>
      <c r="F11" s="50" t="s">
        <v>50</v>
      </c>
      <c r="G11" s="54"/>
      <c r="H11" s="48" t="s">
        <v>1</v>
      </c>
      <c r="I11" s="48" t="s">
        <v>2</v>
      </c>
      <c r="J11" s="48" t="s">
        <v>3</v>
      </c>
      <c r="K11" s="48" t="s">
        <v>4</v>
      </c>
      <c r="L11" s="48" t="s">
        <v>5</v>
      </c>
      <c r="M11" s="48" t="s">
        <v>6</v>
      </c>
      <c r="N11" s="48" t="s">
        <v>7</v>
      </c>
      <c r="O11" s="48" t="s">
        <v>8</v>
      </c>
      <c r="P11" s="48" t="s">
        <v>9</v>
      </c>
      <c r="Q11" s="48" t="s">
        <v>10</v>
      </c>
      <c r="R11" s="48" t="s">
        <v>11</v>
      </c>
      <c r="S11" s="48" t="s">
        <v>12</v>
      </c>
      <c r="T11" s="50" t="s">
        <v>16</v>
      </c>
      <c r="U11" s="52" t="s">
        <v>51</v>
      </c>
      <c r="V11" s="52"/>
      <c r="W11" s="24" t="s">
        <v>0</v>
      </c>
      <c r="X11" s="25"/>
    </row>
    <row r="12" spans="2:26" s="5" customFormat="1" ht="22.5" customHeight="1" x14ac:dyDescent="0.2">
      <c r="B12" s="22"/>
      <c r="C12" s="22"/>
      <c r="D12" s="22"/>
      <c r="E12" s="22"/>
      <c r="F12" s="51"/>
      <c r="G12" s="55"/>
      <c r="H12" s="49"/>
      <c r="I12" s="49"/>
      <c r="J12" s="49"/>
      <c r="K12" s="49"/>
      <c r="L12" s="49"/>
      <c r="M12" s="49"/>
      <c r="N12" s="49"/>
      <c r="O12" s="49"/>
      <c r="P12" s="49"/>
      <c r="Q12" s="49"/>
      <c r="R12" s="49"/>
      <c r="S12" s="49"/>
      <c r="T12" s="51"/>
      <c r="U12" s="52"/>
      <c r="V12" s="52"/>
      <c r="W12" s="26"/>
      <c r="X12" s="27"/>
    </row>
    <row r="13" spans="2:26" s="1" customFormat="1" ht="28.15" customHeight="1" x14ac:dyDescent="0.2">
      <c r="B13" s="22"/>
      <c r="C13" s="22"/>
      <c r="D13" s="22"/>
      <c r="E13" s="22"/>
      <c r="F13" s="51"/>
      <c r="G13" s="55"/>
      <c r="H13" s="56" t="s">
        <v>39</v>
      </c>
      <c r="I13" s="57"/>
      <c r="J13" s="57"/>
      <c r="K13" s="57"/>
      <c r="L13" s="57"/>
      <c r="M13" s="57"/>
      <c r="N13" s="57"/>
      <c r="O13" s="57"/>
      <c r="P13" s="57"/>
      <c r="Q13" s="57"/>
      <c r="R13" s="57"/>
      <c r="S13" s="58"/>
      <c r="T13" s="51"/>
      <c r="U13" s="53"/>
      <c r="V13" s="53"/>
      <c r="W13" s="26"/>
      <c r="X13" s="27"/>
    </row>
    <row r="14" spans="2:26" s="1" customFormat="1" ht="43.5" customHeight="1" x14ac:dyDescent="0.2">
      <c r="B14" s="14" t="s">
        <v>69</v>
      </c>
      <c r="C14" s="14" t="s">
        <v>71</v>
      </c>
      <c r="D14" s="14" t="s">
        <v>184</v>
      </c>
      <c r="E14" s="14" t="s">
        <v>70</v>
      </c>
      <c r="F14" s="15" t="s">
        <v>67</v>
      </c>
      <c r="G14" s="11" t="s">
        <v>22</v>
      </c>
      <c r="H14" s="7">
        <v>1</v>
      </c>
      <c r="I14" s="7"/>
      <c r="J14" s="7"/>
      <c r="K14" s="7"/>
      <c r="L14" s="7"/>
      <c r="M14" s="7"/>
      <c r="N14" s="7"/>
      <c r="O14" s="7"/>
      <c r="P14" s="7"/>
      <c r="Q14" s="7"/>
      <c r="R14" s="7"/>
      <c r="S14" s="7"/>
      <c r="T14" s="16">
        <f>IFERROR(IF(COUNT(H14:S14)&lt;1,0,IF(COUNT(H15:S15)&gt;=COUNT(H14:S14),1,(COUNT(H15:S15)/COUNT(H14:S14)))),0)</f>
        <v>1</v>
      </c>
      <c r="U14" s="17" t="s">
        <v>108</v>
      </c>
      <c r="V14" s="17"/>
      <c r="W14" s="18"/>
      <c r="X14" s="18"/>
    </row>
    <row r="15" spans="2:26" s="1" customFormat="1" ht="43.5" customHeight="1" x14ac:dyDescent="0.2">
      <c r="B15" s="14"/>
      <c r="C15" s="14"/>
      <c r="D15" s="14"/>
      <c r="E15" s="14"/>
      <c r="F15" s="15"/>
      <c r="G15" s="8" t="s">
        <v>23</v>
      </c>
      <c r="H15" s="7">
        <v>1</v>
      </c>
      <c r="I15" s="7"/>
      <c r="J15" s="7"/>
      <c r="K15" s="7"/>
      <c r="L15" s="7"/>
      <c r="M15" s="7"/>
      <c r="N15" s="7"/>
      <c r="O15" s="7"/>
      <c r="P15" s="7"/>
      <c r="Q15" s="7"/>
      <c r="R15" s="7"/>
      <c r="S15" s="7"/>
      <c r="T15" s="16"/>
      <c r="U15" s="17"/>
      <c r="V15" s="17"/>
      <c r="W15" s="18"/>
      <c r="X15" s="18"/>
    </row>
    <row r="16" spans="2:26" s="1" customFormat="1" ht="42" customHeight="1" x14ac:dyDescent="0.2">
      <c r="B16" s="14" t="s">
        <v>52</v>
      </c>
      <c r="C16" s="14" t="s">
        <v>55</v>
      </c>
      <c r="D16" s="14" t="s">
        <v>56</v>
      </c>
      <c r="E16" s="14" t="s">
        <v>59</v>
      </c>
      <c r="F16" s="15" t="s">
        <v>185</v>
      </c>
      <c r="G16" s="11" t="s">
        <v>22</v>
      </c>
      <c r="H16" s="7">
        <v>1</v>
      </c>
      <c r="I16" s="7"/>
      <c r="J16" s="7"/>
      <c r="K16" s="7"/>
      <c r="L16" s="7"/>
      <c r="M16" s="7"/>
      <c r="N16" s="7"/>
      <c r="O16" s="7"/>
      <c r="P16" s="7"/>
      <c r="Q16" s="7"/>
      <c r="R16" s="7"/>
      <c r="S16" s="7"/>
      <c r="T16" s="16">
        <f>IFERROR(IF(COUNT(H16:S16)&lt;1,0,IF(COUNT(H17:S17)&gt;=COUNT(H16:S16),1,(COUNT(H17:S17)/COUNT(H16:S16)))),0)</f>
        <v>0</v>
      </c>
      <c r="U16" s="17" t="s">
        <v>109</v>
      </c>
      <c r="V16" s="17"/>
      <c r="W16" s="18"/>
      <c r="X16" s="18"/>
    </row>
    <row r="17" spans="2:24" s="1" customFormat="1" ht="42" customHeight="1" x14ac:dyDescent="0.2">
      <c r="B17" s="14"/>
      <c r="C17" s="14"/>
      <c r="D17" s="14"/>
      <c r="E17" s="14"/>
      <c r="F17" s="15"/>
      <c r="G17" s="8" t="s">
        <v>23</v>
      </c>
      <c r="H17" s="7"/>
      <c r="I17" s="7"/>
      <c r="J17" s="7"/>
      <c r="K17" s="7"/>
      <c r="L17" s="7"/>
      <c r="M17" s="7"/>
      <c r="N17" s="7"/>
      <c r="O17" s="7"/>
      <c r="P17" s="7"/>
      <c r="Q17" s="7"/>
      <c r="R17" s="7"/>
      <c r="S17" s="7"/>
      <c r="T17" s="16"/>
      <c r="U17" s="17"/>
      <c r="V17" s="17"/>
      <c r="W17" s="18"/>
      <c r="X17" s="18"/>
    </row>
    <row r="18" spans="2:24" s="1" customFormat="1" ht="39.75" customHeight="1" x14ac:dyDescent="0.2">
      <c r="B18" s="14" t="s">
        <v>53</v>
      </c>
      <c r="C18" s="14" t="s">
        <v>57</v>
      </c>
      <c r="D18" s="14" t="s">
        <v>56</v>
      </c>
      <c r="E18" s="14" t="s">
        <v>59</v>
      </c>
      <c r="F18" s="15" t="s">
        <v>185</v>
      </c>
      <c r="G18" s="11" t="s">
        <v>22</v>
      </c>
      <c r="H18" s="7">
        <v>1</v>
      </c>
      <c r="I18" s="7"/>
      <c r="J18" s="7"/>
      <c r="K18" s="7"/>
      <c r="L18" s="7"/>
      <c r="M18" s="7"/>
      <c r="N18" s="7"/>
      <c r="O18" s="7"/>
      <c r="P18" s="7"/>
      <c r="Q18" s="7"/>
      <c r="R18" s="7"/>
      <c r="S18" s="7"/>
      <c r="T18" s="16">
        <f>IFERROR(IF(COUNT(H18:S18)&lt;1,0,IF(COUNT(H19:S19)&gt;=COUNT(H18:S18),1,(COUNT(H19:S19)/COUNT(H18:S18)))),0)</f>
        <v>0</v>
      </c>
      <c r="U18" s="17" t="s">
        <v>109</v>
      </c>
      <c r="V18" s="17"/>
      <c r="W18" s="18"/>
      <c r="X18" s="18"/>
    </row>
    <row r="19" spans="2:24" s="1" customFormat="1" ht="39.75" customHeight="1" x14ac:dyDescent="0.2">
      <c r="B19" s="14"/>
      <c r="C19" s="14"/>
      <c r="D19" s="14"/>
      <c r="E19" s="14"/>
      <c r="F19" s="15"/>
      <c r="G19" s="8" t="s">
        <v>23</v>
      </c>
      <c r="H19" s="7"/>
      <c r="I19" s="7"/>
      <c r="J19" s="7"/>
      <c r="K19" s="7"/>
      <c r="L19" s="7"/>
      <c r="M19" s="7"/>
      <c r="N19" s="7"/>
      <c r="O19" s="7"/>
      <c r="P19" s="7"/>
      <c r="Q19" s="7"/>
      <c r="R19" s="7"/>
      <c r="S19" s="7"/>
      <c r="T19" s="16"/>
      <c r="U19" s="17"/>
      <c r="V19" s="17"/>
      <c r="W19" s="18"/>
      <c r="X19" s="18"/>
    </row>
    <row r="20" spans="2:24" s="1" customFormat="1" ht="61.5" customHeight="1" x14ac:dyDescent="0.2">
      <c r="B20" s="14" t="s">
        <v>54</v>
      </c>
      <c r="C20" s="14" t="s">
        <v>58</v>
      </c>
      <c r="D20" s="14" t="s">
        <v>56</v>
      </c>
      <c r="E20" s="14" t="s">
        <v>59</v>
      </c>
      <c r="F20" s="15" t="s">
        <v>185</v>
      </c>
      <c r="G20" s="11" t="s">
        <v>22</v>
      </c>
      <c r="H20" s="7">
        <v>1</v>
      </c>
      <c r="I20" s="7"/>
      <c r="J20" s="7"/>
      <c r="K20" s="7"/>
      <c r="L20" s="7"/>
      <c r="M20" s="7"/>
      <c r="N20" s="7"/>
      <c r="O20" s="7"/>
      <c r="P20" s="7"/>
      <c r="Q20" s="7"/>
      <c r="R20" s="7"/>
      <c r="S20" s="7"/>
      <c r="T20" s="16">
        <f t="shared" ref="T20" si="0">IFERROR(IF(COUNT(H20:S20)&lt;1,0,IF(COUNT(H21:S21)&gt;=COUNT(H20:S20),1,(COUNT(H21:S21)/COUNT(H20:S20)))),0)</f>
        <v>0</v>
      </c>
      <c r="U20" s="17" t="s">
        <v>109</v>
      </c>
      <c r="V20" s="17"/>
      <c r="W20" s="18"/>
      <c r="X20" s="18"/>
    </row>
    <row r="21" spans="2:24" s="1" customFormat="1" ht="61.5" customHeight="1" x14ac:dyDescent="0.2">
      <c r="B21" s="14"/>
      <c r="C21" s="14"/>
      <c r="D21" s="14"/>
      <c r="E21" s="14"/>
      <c r="F21" s="15"/>
      <c r="G21" s="8" t="s">
        <v>23</v>
      </c>
      <c r="H21" s="7"/>
      <c r="I21" s="7"/>
      <c r="J21" s="7"/>
      <c r="K21" s="7"/>
      <c r="L21" s="7"/>
      <c r="M21" s="7"/>
      <c r="N21" s="7"/>
      <c r="O21" s="7"/>
      <c r="P21" s="7"/>
      <c r="Q21" s="7"/>
      <c r="R21" s="7"/>
      <c r="S21" s="7"/>
      <c r="T21" s="16"/>
      <c r="U21" s="17"/>
      <c r="V21" s="17"/>
      <c r="W21" s="18"/>
      <c r="X21" s="18"/>
    </row>
    <row r="22" spans="2:24" s="2" customFormat="1" ht="48" customHeight="1" x14ac:dyDescent="0.2">
      <c r="B22" s="14" t="s">
        <v>60</v>
      </c>
      <c r="C22" s="14" t="s">
        <v>61</v>
      </c>
      <c r="D22" s="14" t="s">
        <v>63</v>
      </c>
      <c r="E22" s="14" t="s">
        <v>66</v>
      </c>
      <c r="F22" s="15" t="s">
        <v>67</v>
      </c>
      <c r="G22" s="11" t="s">
        <v>22</v>
      </c>
      <c r="H22" s="7">
        <v>1</v>
      </c>
      <c r="I22" s="7"/>
      <c r="J22" s="7"/>
      <c r="K22" s="7"/>
      <c r="L22" s="7"/>
      <c r="M22" s="7"/>
      <c r="N22" s="7"/>
      <c r="O22" s="7"/>
      <c r="P22" s="7"/>
      <c r="Q22" s="7"/>
      <c r="R22" s="7"/>
      <c r="S22" s="7"/>
      <c r="T22" s="16">
        <f t="shared" ref="T22" si="1">IFERROR(IF(COUNT(H22:S22)&lt;1,0,IF(COUNT(H23:S23)&gt;=COUNT(H22:S22),1,(COUNT(H23:S23)/COUNT(H22:S22)))),0)</f>
        <v>1</v>
      </c>
      <c r="U22" s="17" t="s">
        <v>110</v>
      </c>
      <c r="V22" s="17"/>
      <c r="W22" s="18"/>
      <c r="X22" s="18"/>
    </row>
    <row r="23" spans="2:24" s="2" customFormat="1" ht="48" customHeight="1" x14ac:dyDescent="0.2">
      <c r="B23" s="14"/>
      <c r="C23" s="14"/>
      <c r="D23" s="14"/>
      <c r="E23" s="14"/>
      <c r="F23" s="15"/>
      <c r="G23" s="8" t="s">
        <v>23</v>
      </c>
      <c r="H23" s="7">
        <v>1</v>
      </c>
      <c r="I23" s="7"/>
      <c r="J23" s="7"/>
      <c r="K23" s="7"/>
      <c r="L23" s="7"/>
      <c r="M23" s="7"/>
      <c r="N23" s="7"/>
      <c r="O23" s="7"/>
      <c r="P23" s="7"/>
      <c r="Q23" s="7"/>
      <c r="R23" s="7"/>
      <c r="S23" s="7"/>
      <c r="T23" s="16"/>
      <c r="U23" s="17"/>
      <c r="V23" s="17"/>
      <c r="W23" s="18"/>
      <c r="X23" s="18"/>
    </row>
    <row r="24" spans="2:24" s="2" customFormat="1" ht="57" customHeight="1" x14ac:dyDescent="0.2">
      <c r="B24" s="14" t="s">
        <v>64</v>
      </c>
      <c r="C24" s="14" t="s">
        <v>65</v>
      </c>
      <c r="D24" s="14" t="s">
        <v>63</v>
      </c>
      <c r="E24" s="14" t="s">
        <v>68</v>
      </c>
      <c r="F24" s="15" t="s">
        <v>67</v>
      </c>
      <c r="G24" s="11" t="s">
        <v>22</v>
      </c>
      <c r="H24" s="7">
        <v>1</v>
      </c>
      <c r="I24" s="7"/>
      <c r="J24" s="7"/>
      <c r="K24" s="7"/>
      <c r="L24" s="7"/>
      <c r="M24" s="7"/>
      <c r="N24" s="7"/>
      <c r="O24" s="7"/>
      <c r="P24" s="7"/>
      <c r="Q24" s="7"/>
      <c r="R24" s="7"/>
      <c r="S24" s="7"/>
      <c r="T24" s="16">
        <f t="shared" ref="T24" si="2">IFERROR(IF(COUNT(H24:S24)&lt;1,0,IF(COUNT(H25:S25)&gt;=COUNT(H24:S24),1,(COUNT(H25:S25)/COUNT(H24:S24)))),0)</f>
        <v>1</v>
      </c>
      <c r="U24" s="17" t="s">
        <v>110</v>
      </c>
      <c r="V24" s="17"/>
      <c r="W24" s="18"/>
      <c r="X24" s="18"/>
    </row>
    <row r="25" spans="2:24" s="2" customFormat="1" ht="57" customHeight="1" x14ac:dyDescent="0.2">
      <c r="B25" s="14"/>
      <c r="C25" s="14"/>
      <c r="D25" s="14"/>
      <c r="E25" s="14"/>
      <c r="F25" s="15"/>
      <c r="G25" s="8" t="s">
        <v>23</v>
      </c>
      <c r="H25" s="7">
        <v>1</v>
      </c>
      <c r="I25" s="7"/>
      <c r="J25" s="7"/>
      <c r="K25" s="7"/>
      <c r="L25" s="7"/>
      <c r="M25" s="7"/>
      <c r="N25" s="7"/>
      <c r="O25" s="7"/>
      <c r="P25" s="7"/>
      <c r="Q25" s="7"/>
      <c r="R25" s="7"/>
      <c r="S25" s="7"/>
      <c r="T25" s="16"/>
      <c r="U25" s="17"/>
      <c r="V25" s="17"/>
      <c r="W25" s="18"/>
      <c r="X25" s="18"/>
    </row>
    <row r="26" spans="2:24" s="2" customFormat="1" ht="33.75" customHeight="1" x14ac:dyDescent="0.2">
      <c r="B26" s="14" t="s">
        <v>72</v>
      </c>
      <c r="C26" s="14" t="s">
        <v>73</v>
      </c>
      <c r="D26" s="14" t="s">
        <v>63</v>
      </c>
      <c r="E26" s="14" t="s">
        <v>70</v>
      </c>
      <c r="F26" s="15" t="s">
        <v>67</v>
      </c>
      <c r="G26" s="11" t="s">
        <v>22</v>
      </c>
      <c r="H26" s="7">
        <v>1</v>
      </c>
      <c r="I26" s="7"/>
      <c r="J26" s="7"/>
      <c r="K26" s="7"/>
      <c r="L26" s="7"/>
      <c r="M26" s="7"/>
      <c r="N26" s="7"/>
      <c r="O26" s="7"/>
      <c r="P26" s="7"/>
      <c r="Q26" s="7"/>
      <c r="R26" s="7"/>
      <c r="S26" s="7"/>
      <c r="T26" s="16">
        <f t="shared" ref="T26" si="3">IFERROR(IF(COUNT(H26:S26)&lt;1,0,IF(COUNT(H27:S27)&gt;=COUNT(H26:S26),1,(COUNT(H27:S27)/COUNT(H26:S26)))),0)</f>
        <v>0</v>
      </c>
      <c r="U26" s="17" t="s">
        <v>110</v>
      </c>
      <c r="V26" s="17"/>
      <c r="W26" s="18"/>
      <c r="X26" s="18"/>
    </row>
    <row r="27" spans="2:24" s="2" customFormat="1" ht="33.75" customHeight="1" x14ac:dyDescent="0.2">
      <c r="B27" s="14"/>
      <c r="C27" s="14"/>
      <c r="D27" s="14"/>
      <c r="E27" s="14"/>
      <c r="F27" s="15"/>
      <c r="G27" s="8" t="s">
        <v>23</v>
      </c>
      <c r="H27" s="7"/>
      <c r="I27" s="7"/>
      <c r="J27" s="7"/>
      <c r="K27" s="7"/>
      <c r="L27" s="7"/>
      <c r="M27" s="7"/>
      <c r="N27" s="7"/>
      <c r="O27" s="7"/>
      <c r="P27" s="7"/>
      <c r="Q27" s="7"/>
      <c r="R27" s="7"/>
      <c r="S27" s="7"/>
      <c r="T27" s="16"/>
      <c r="U27" s="17"/>
      <c r="V27" s="17"/>
      <c r="W27" s="18"/>
      <c r="X27" s="18"/>
    </row>
    <row r="28" spans="2:24" s="2" customFormat="1" ht="76.5" customHeight="1" x14ac:dyDescent="0.2">
      <c r="B28" s="14" t="s">
        <v>81</v>
      </c>
      <c r="C28" s="14" t="s">
        <v>82</v>
      </c>
      <c r="D28" s="14" t="s">
        <v>63</v>
      </c>
      <c r="E28" s="14" t="s">
        <v>70</v>
      </c>
      <c r="F28" s="15" t="s">
        <v>67</v>
      </c>
      <c r="G28" s="11" t="s">
        <v>22</v>
      </c>
      <c r="H28" s="7">
        <v>1</v>
      </c>
      <c r="I28" s="7"/>
      <c r="J28" s="7"/>
      <c r="K28" s="7"/>
      <c r="L28" s="7"/>
      <c r="M28" s="7"/>
      <c r="N28" s="7"/>
      <c r="O28" s="7"/>
      <c r="P28" s="7"/>
      <c r="Q28" s="7"/>
      <c r="R28" s="7"/>
      <c r="S28" s="7"/>
      <c r="T28" s="16">
        <f t="shared" ref="T28" si="4">IFERROR(IF(COUNT(H28:S28)&lt;1,0,IF(COUNT(H29:S29)&gt;=COUNT(H28:S28),1,(COUNT(H29:S29)/COUNT(H28:S28)))),0)</f>
        <v>0</v>
      </c>
      <c r="U28" s="17" t="s">
        <v>110</v>
      </c>
      <c r="V28" s="17"/>
      <c r="W28" s="18"/>
      <c r="X28" s="18"/>
    </row>
    <row r="29" spans="2:24" s="2" customFormat="1" ht="76.5" customHeight="1" x14ac:dyDescent="0.2">
      <c r="B29" s="14"/>
      <c r="C29" s="14"/>
      <c r="D29" s="14"/>
      <c r="E29" s="14"/>
      <c r="F29" s="15"/>
      <c r="G29" s="8" t="s">
        <v>23</v>
      </c>
      <c r="H29" s="7"/>
      <c r="I29" s="7"/>
      <c r="J29" s="7"/>
      <c r="K29" s="7"/>
      <c r="L29" s="7"/>
      <c r="M29" s="7"/>
      <c r="N29" s="7"/>
      <c r="O29" s="7"/>
      <c r="P29" s="7"/>
      <c r="Q29" s="7"/>
      <c r="R29" s="7"/>
      <c r="S29" s="7"/>
      <c r="T29" s="16"/>
      <c r="U29" s="17"/>
      <c r="V29" s="17"/>
      <c r="W29" s="18"/>
      <c r="X29" s="18"/>
    </row>
    <row r="30" spans="2:24" s="2" customFormat="1" ht="46.5" customHeight="1" x14ac:dyDescent="0.2">
      <c r="B30" s="14" t="s">
        <v>76</v>
      </c>
      <c r="C30" s="14" t="s">
        <v>77</v>
      </c>
      <c r="D30" s="14" t="s">
        <v>62</v>
      </c>
      <c r="E30" s="14" t="s">
        <v>186</v>
      </c>
      <c r="F30" s="15" t="s">
        <v>67</v>
      </c>
      <c r="G30" s="11" t="s">
        <v>22</v>
      </c>
      <c r="H30" s="7">
        <v>1</v>
      </c>
      <c r="I30" s="7"/>
      <c r="J30" s="7"/>
      <c r="K30" s="7"/>
      <c r="L30" s="7"/>
      <c r="M30" s="7"/>
      <c r="N30" s="7"/>
      <c r="O30" s="7"/>
      <c r="P30" s="7"/>
      <c r="Q30" s="7"/>
      <c r="R30" s="7"/>
      <c r="S30" s="7"/>
      <c r="T30" s="16">
        <f t="shared" ref="T30" si="5">IFERROR(IF(COUNT(H30:S30)&lt;1,0,IF(COUNT(H31:S31)&gt;=COUNT(H30:S30),1,(COUNT(H31:S31)/COUNT(H30:S30)))),0)</f>
        <v>0</v>
      </c>
      <c r="U30" s="17" t="s">
        <v>110</v>
      </c>
      <c r="V30" s="17"/>
      <c r="W30" s="18"/>
      <c r="X30" s="18"/>
    </row>
    <row r="31" spans="2:24" s="1" customFormat="1" ht="46.5" customHeight="1" x14ac:dyDescent="0.2">
      <c r="B31" s="14"/>
      <c r="C31" s="14"/>
      <c r="D31" s="14"/>
      <c r="E31" s="14"/>
      <c r="F31" s="15"/>
      <c r="G31" s="8" t="s">
        <v>23</v>
      </c>
      <c r="H31" s="7"/>
      <c r="I31" s="7"/>
      <c r="J31" s="7"/>
      <c r="K31" s="7"/>
      <c r="L31" s="7"/>
      <c r="M31" s="7"/>
      <c r="N31" s="7"/>
      <c r="O31" s="7"/>
      <c r="P31" s="7"/>
      <c r="Q31" s="7"/>
      <c r="R31" s="7"/>
      <c r="S31" s="7"/>
      <c r="T31" s="16"/>
      <c r="U31" s="17"/>
      <c r="V31" s="17"/>
      <c r="W31" s="18"/>
      <c r="X31" s="18"/>
    </row>
    <row r="32" spans="2:24" s="1" customFormat="1" ht="48.75" customHeight="1" x14ac:dyDescent="0.2">
      <c r="B32" s="14" t="s">
        <v>78</v>
      </c>
      <c r="C32" s="14" t="s">
        <v>79</v>
      </c>
      <c r="D32" s="14" t="s">
        <v>62</v>
      </c>
      <c r="E32" s="14" t="s">
        <v>187</v>
      </c>
      <c r="F32" s="15" t="s">
        <v>67</v>
      </c>
      <c r="G32" s="11" t="s">
        <v>22</v>
      </c>
      <c r="H32" s="7">
        <v>1</v>
      </c>
      <c r="I32" s="7"/>
      <c r="J32" s="7"/>
      <c r="K32" s="7"/>
      <c r="L32" s="7"/>
      <c r="M32" s="7"/>
      <c r="N32" s="7"/>
      <c r="O32" s="7"/>
      <c r="P32" s="7"/>
      <c r="Q32" s="7"/>
      <c r="R32" s="7"/>
      <c r="S32" s="7"/>
      <c r="T32" s="16">
        <f t="shared" ref="T32" si="6">IFERROR(IF(COUNT(H32:S32)&lt;1,0,IF(COUNT(H33:S33)&gt;=COUNT(H32:S32),1,(COUNT(H33:S33)/COUNT(H32:S32)))),0)</f>
        <v>0</v>
      </c>
      <c r="U32" s="17" t="s">
        <v>110</v>
      </c>
      <c r="V32" s="17"/>
      <c r="W32" s="18"/>
      <c r="X32" s="18"/>
    </row>
    <row r="33" spans="2:24" s="1" customFormat="1" ht="48.75" customHeight="1" x14ac:dyDescent="0.2">
      <c r="B33" s="14"/>
      <c r="C33" s="14"/>
      <c r="D33" s="14"/>
      <c r="E33" s="14"/>
      <c r="F33" s="15"/>
      <c r="G33" s="8" t="s">
        <v>23</v>
      </c>
      <c r="H33" s="7"/>
      <c r="I33" s="7"/>
      <c r="J33" s="7"/>
      <c r="K33" s="7"/>
      <c r="L33" s="7"/>
      <c r="M33" s="7"/>
      <c r="N33" s="7"/>
      <c r="O33" s="7"/>
      <c r="P33" s="7"/>
      <c r="Q33" s="7"/>
      <c r="R33" s="7"/>
      <c r="S33" s="7"/>
      <c r="T33" s="16"/>
      <c r="U33" s="17"/>
      <c r="V33" s="17"/>
      <c r="W33" s="18"/>
      <c r="X33" s="18"/>
    </row>
    <row r="34" spans="2:24" s="1" customFormat="1" ht="48.75" customHeight="1" x14ac:dyDescent="0.2">
      <c r="B34" s="14" t="s">
        <v>74</v>
      </c>
      <c r="C34" s="14" t="s">
        <v>75</v>
      </c>
      <c r="D34" s="14" t="s">
        <v>63</v>
      </c>
      <c r="E34" s="14" t="s">
        <v>70</v>
      </c>
      <c r="F34" s="15" t="s">
        <v>67</v>
      </c>
      <c r="G34" s="11" t="s">
        <v>22</v>
      </c>
      <c r="H34" s="7">
        <v>1</v>
      </c>
      <c r="I34" s="7"/>
      <c r="J34" s="7"/>
      <c r="K34" s="7"/>
      <c r="L34" s="7"/>
      <c r="M34" s="7"/>
      <c r="N34" s="7"/>
      <c r="O34" s="7"/>
      <c r="P34" s="7"/>
      <c r="Q34" s="7"/>
      <c r="R34" s="7"/>
      <c r="S34" s="7"/>
      <c r="T34" s="16">
        <f t="shared" ref="T34" si="7">IFERROR(IF(COUNT(H34:S34)&lt;1,0,IF(COUNT(H35:S35)&gt;=COUNT(H34:S34),1,(COUNT(H35:S35)/COUNT(H34:S34)))),0)</f>
        <v>0</v>
      </c>
      <c r="U34" s="17" t="s">
        <v>110</v>
      </c>
      <c r="V34" s="17"/>
      <c r="W34" s="18"/>
      <c r="X34" s="18"/>
    </row>
    <row r="35" spans="2:24" s="1" customFormat="1" ht="48.75" customHeight="1" x14ac:dyDescent="0.2">
      <c r="B35" s="14"/>
      <c r="C35" s="14"/>
      <c r="D35" s="14"/>
      <c r="E35" s="14"/>
      <c r="F35" s="15"/>
      <c r="G35" s="8" t="s">
        <v>23</v>
      </c>
      <c r="H35" s="7"/>
      <c r="I35" s="7"/>
      <c r="J35" s="7"/>
      <c r="K35" s="7"/>
      <c r="L35" s="7"/>
      <c r="M35" s="7"/>
      <c r="N35" s="7"/>
      <c r="O35" s="7"/>
      <c r="P35" s="7"/>
      <c r="Q35" s="7"/>
      <c r="R35" s="7"/>
      <c r="S35" s="7"/>
      <c r="T35" s="16"/>
      <c r="U35" s="17"/>
      <c r="V35" s="17"/>
      <c r="W35" s="18"/>
      <c r="X35" s="18"/>
    </row>
    <row r="36" spans="2:24" s="1" customFormat="1" ht="48.75" customHeight="1" x14ac:dyDescent="0.2">
      <c r="B36" s="14" t="s">
        <v>114</v>
      </c>
      <c r="C36" s="14" t="s">
        <v>115</v>
      </c>
      <c r="D36" s="14" t="s">
        <v>62</v>
      </c>
      <c r="E36" s="14" t="s">
        <v>116</v>
      </c>
      <c r="F36" s="15" t="s">
        <v>67</v>
      </c>
      <c r="G36" s="11" t="s">
        <v>22</v>
      </c>
      <c r="H36" s="7">
        <v>1</v>
      </c>
      <c r="I36" s="7"/>
      <c r="J36" s="7"/>
      <c r="K36" s="7"/>
      <c r="L36" s="7"/>
      <c r="M36" s="7"/>
      <c r="N36" s="7"/>
      <c r="O36" s="7"/>
      <c r="P36" s="7"/>
      <c r="Q36" s="7"/>
      <c r="R36" s="7"/>
      <c r="S36" s="7"/>
      <c r="T36" s="16">
        <f t="shared" ref="T36" si="8">IFERROR(IF(COUNT(H36:S36)&lt;1,0,IF(COUNT(H37:S37)&gt;=COUNT(H36:S36),1,(COUNT(H37:S37)/COUNT(H36:S36)))),0)</f>
        <v>0</v>
      </c>
      <c r="U36" s="17" t="s">
        <v>110</v>
      </c>
      <c r="V36" s="17"/>
      <c r="W36" s="18"/>
      <c r="X36" s="18"/>
    </row>
    <row r="37" spans="2:24" s="1" customFormat="1" ht="48.75" customHeight="1" x14ac:dyDescent="0.2">
      <c r="B37" s="14"/>
      <c r="C37" s="14"/>
      <c r="D37" s="14"/>
      <c r="E37" s="14"/>
      <c r="F37" s="15"/>
      <c r="G37" s="8" t="s">
        <v>23</v>
      </c>
      <c r="H37" s="7"/>
      <c r="I37" s="7"/>
      <c r="J37" s="7"/>
      <c r="K37" s="7"/>
      <c r="L37" s="7"/>
      <c r="M37" s="7"/>
      <c r="N37" s="7"/>
      <c r="O37" s="7"/>
      <c r="P37" s="7"/>
      <c r="Q37" s="7"/>
      <c r="R37" s="7"/>
      <c r="S37" s="7"/>
      <c r="T37" s="16"/>
      <c r="U37" s="17"/>
      <c r="V37" s="17"/>
      <c r="W37" s="18"/>
      <c r="X37" s="18"/>
    </row>
    <row r="38" spans="2:24" s="1" customFormat="1" ht="48.75" customHeight="1" x14ac:dyDescent="0.2">
      <c r="B38" s="14" t="s">
        <v>120</v>
      </c>
      <c r="C38" s="14" t="s">
        <v>121</v>
      </c>
      <c r="D38" s="14" t="s">
        <v>122</v>
      </c>
      <c r="E38" s="14" t="s">
        <v>123</v>
      </c>
      <c r="F38" s="15" t="s">
        <v>67</v>
      </c>
      <c r="G38" s="11" t="s">
        <v>22</v>
      </c>
      <c r="H38" s="7">
        <v>1</v>
      </c>
      <c r="I38" s="7"/>
      <c r="J38" s="7"/>
      <c r="K38" s="7"/>
      <c r="L38" s="7"/>
      <c r="M38" s="7"/>
      <c r="N38" s="7"/>
      <c r="O38" s="7"/>
      <c r="P38" s="7"/>
      <c r="Q38" s="7"/>
      <c r="R38" s="7"/>
      <c r="S38" s="7"/>
      <c r="T38" s="16">
        <f t="shared" ref="T38" si="9">IFERROR(IF(COUNT(H38:S38)&lt;1,0,IF(COUNT(H39:S39)&gt;=COUNT(H38:S38),1,(COUNT(H39:S39)/COUNT(H38:S38)))),0)</f>
        <v>0</v>
      </c>
      <c r="U38" s="17" t="s">
        <v>110</v>
      </c>
      <c r="V38" s="17"/>
      <c r="W38" s="18"/>
      <c r="X38" s="18"/>
    </row>
    <row r="39" spans="2:24" s="1" customFormat="1" ht="48.75" customHeight="1" x14ac:dyDescent="0.2">
      <c r="B39" s="14"/>
      <c r="C39" s="14"/>
      <c r="D39" s="14"/>
      <c r="E39" s="14"/>
      <c r="F39" s="15"/>
      <c r="G39" s="8" t="s">
        <v>23</v>
      </c>
      <c r="H39" s="7"/>
      <c r="I39" s="7"/>
      <c r="J39" s="7"/>
      <c r="K39" s="7"/>
      <c r="L39" s="7"/>
      <c r="M39" s="7"/>
      <c r="N39" s="7"/>
      <c r="O39" s="7"/>
      <c r="P39" s="7"/>
      <c r="Q39" s="7"/>
      <c r="R39" s="7"/>
      <c r="S39" s="7"/>
      <c r="T39" s="16"/>
      <c r="U39" s="17"/>
      <c r="V39" s="17"/>
      <c r="W39" s="18"/>
      <c r="X39" s="18"/>
    </row>
    <row r="40" spans="2:24" s="1" customFormat="1" ht="48.75" customHeight="1" x14ac:dyDescent="0.2">
      <c r="B40" s="14" t="s">
        <v>124</v>
      </c>
      <c r="C40" s="14" t="s">
        <v>125</v>
      </c>
      <c r="D40" s="14" t="s">
        <v>63</v>
      </c>
      <c r="E40" s="14" t="s">
        <v>80</v>
      </c>
      <c r="F40" s="15" t="s">
        <v>67</v>
      </c>
      <c r="G40" s="11" t="s">
        <v>22</v>
      </c>
      <c r="H40" s="7">
        <v>1</v>
      </c>
      <c r="I40" s="7"/>
      <c r="J40" s="7"/>
      <c r="K40" s="7"/>
      <c r="L40" s="7"/>
      <c r="M40" s="7"/>
      <c r="N40" s="7"/>
      <c r="O40" s="7"/>
      <c r="P40" s="7"/>
      <c r="Q40" s="7"/>
      <c r="R40" s="7"/>
      <c r="S40" s="7"/>
      <c r="T40" s="16">
        <f t="shared" ref="T40" si="10">IFERROR(IF(COUNT(H40:S40)&lt;1,0,IF(COUNT(H41:S41)&gt;=COUNT(H40:S40),1,(COUNT(H41:S41)/COUNT(H40:S40)))),0)</f>
        <v>0</v>
      </c>
      <c r="U40" s="17" t="s">
        <v>110</v>
      </c>
      <c r="V40" s="17"/>
      <c r="W40" s="18"/>
      <c r="X40" s="18"/>
    </row>
    <row r="41" spans="2:24" s="1" customFormat="1" ht="48.75" customHeight="1" x14ac:dyDescent="0.2">
      <c r="B41" s="14"/>
      <c r="C41" s="14"/>
      <c r="D41" s="14"/>
      <c r="E41" s="14"/>
      <c r="F41" s="15"/>
      <c r="G41" s="8" t="s">
        <v>23</v>
      </c>
      <c r="H41" s="7"/>
      <c r="I41" s="7"/>
      <c r="J41" s="7"/>
      <c r="K41" s="7"/>
      <c r="L41" s="7"/>
      <c r="M41" s="7"/>
      <c r="N41" s="7"/>
      <c r="O41" s="7"/>
      <c r="P41" s="7"/>
      <c r="Q41" s="7"/>
      <c r="R41" s="7"/>
      <c r="S41" s="7"/>
      <c r="T41" s="16"/>
      <c r="U41" s="17"/>
      <c r="V41" s="17"/>
      <c r="W41" s="18"/>
      <c r="X41" s="18"/>
    </row>
    <row r="42" spans="2:24" s="1" customFormat="1" ht="48.75" customHeight="1" x14ac:dyDescent="0.2">
      <c r="B42" s="14" t="s">
        <v>117</v>
      </c>
      <c r="C42" s="14" t="s">
        <v>118</v>
      </c>
      <c r="D42" s="14" t="s">
        <v>62</v>
      </c>
      <c r="E42" s="14" t="s">
        <v>119</v>
      </c>
      <c r="F42" s="15" t="s">
        <v>67</v>
      </c>
      <c r="G42" s="11" t="s">
        <v>22</v>
      </c>
      <c r="H42" s="7"/>
      <c r="I42" s="7">
        <v>1</v>
      </c>
      <c r="J42" s="7"/>
      <c r="K42" s="7"/>
      <c r="L42" s="7"/>
      <c r="M42" s="7"/>
      <c r="N42" s="7"/>
      <c r="O42" s="7"/>
      <c r="P42" s="7"/>
      <c r="Q42" s="7"/>
      <c r="R42" s="7"/>
      <c r="S42" s="7"/>
      <c r="T42" s="16">
        <f t="shared" ref="T42" si="11">IFERROR(IF(COUNT(H42:S42)&lt;1,0,IF(COUNT(H43:S43)&gt;=COUNT(H42:S42),1,(COUNT(H43:S43)/COUNT(H42:S42)))),0)</f>
        <v>0</v>
      </c>
      <c r="U42" s="17" t="s">
        <v>110</v>
      </c>
      <c r="V42" s="17"/>
      <c r="W42" s="18"/>
      <c r="X42" s="18"/>
    </row>
    <row r="43" spans="2:24" s="1" customFormat="1" ht="48.75" customHeight="1" x14ac:dyDescent="0.2">
      <c r="B43" s="14"/>
      <c r="C43" s="14"/>
      <c r="D43" s="14"/>
      <c r="E43" s="14"/>
      <c r="F43" s="15"/>
      <c r="G43" s="8" t="s">
        <v>23</v>
      </c>
      <c r="H43" s="7"/>
      <c r="I43" s="7"/>
      <c r="J43" s="7"/>
      <c r="K43" s="7"/>
      <c r="L43" s="7"/>
      <c r="M43" s="7"/>
      <c r="N43" s="7"/>
      <c r="O43" s="7"/>
      <c r="P43" s="7"/>
      <c r="Q43" s="7"/>
      <c r="R43" s="7"/>
      <c r="S43" s="7"/>
      <c r="T43" s="16"/>
      <c r="U43" s="17"/>
      <c r="V43" s="17"/>
      <c r="W43" s="18"/>
      <c r="X43" s="18"/>
    </row>
    <row r="44" spans="2:24" s="1" customFormat="1" ht="45.75" customHeight="1" x14ac:dyDescent="0.2">
      <c r="B44" s="14" t="s">
        <v>83</v>
      </c>
      <c r="C44" s="14" t="s">
        <v>84</v>
      </c>
      <c r="D44" s="14" t="s">
        <v>63</v>
      </c>
      <c r="E44" s="14" t="s">
        <v>80</v>
      </c>
      <c r="F44" s="15" t="s">
        <v>67</v>
      </c>
      <c r="G44" s="11" t="s">
        <v>22</v>
      </c>
      <c r="H44" s="7"/>
      <c r="I44" s="7">
        <v>1</v>
      </c>
      <c r="J44" s="7"/>
      <c r="K44" s="7"/>
      <c r="L44" s="7"/>
      <c r="M44" s="7"/>
      <c r="N44" s="7"/>
      <c r="O44" s="7"/>
      <c r="P44" s="7"/>
      <c r="Q44" s="7"/>
      <c r="R44" s="7"/>
      <c r="S44" s="7"/>
      <c r="T44" s="16">
        <f t="shared" ref="T44" si="12">IFERROR(IF(COUNT(H44:S44)&lt;1,0,IF(COUNT(H45:S45)&gt;=COUNT(H44:S44),1,(COUNT(H45:S45)/COUNT(H44:S44)))),0)</f>
        <v>0</v>
      </c>
      <c r="U44" s="17" t="s">
        <v>110</v>
      </c>
      <c r="V44" s="17"/>
      <c r="W44" s="18"/>
      <c r="X44" s="18"/>
    </row>
    <row r="45" spans="2:24" s="1" customFormat="1" ht="45.75" customHeight="1" x14ac:dyDescent="0.2">
      <c r="B45" s="14"/>
      <c r="C45" s="14"/>
      <c r="D45" s="14"/>
      <c r="E45" s="14"/>
      <c r="F45" s="15"/>
      <c r="G45" s="8" t="s">
        <v>23</v>
      </c>
      <c r="H45" s="7"/>
      <c r="I45" s="7"/>
      <c r="J45" s="7"/>
      <c r="K45" s="7"/>
      <c r="L45" s="7"/>
      <c r="M45" s="7"/>
      <c r="N45" s="7"/>
      <c r="O45" s="7"/>
      <c r="P45" s="7"/>
      <c r="Q45" s="7"/>
      <c r="R45" s="7"/>
      <c r="S45" s="7"/>
      <c r="T45" s="16"/>
      <c r="U45" s="17"/>
      <c r="V45" s="17"/>
      <c r="W45" s="18"/>
      <c r="X45" s="18"/>
    </row>
    <row r="46" spans="2:24" s="1" customFormat="1" ht="31.5" customHeight="1" x14ac:dyDescent="0.2">
      <c r="B46" s="14" t="s">
        <v>85</v>
      </c>
      <c r="C46" s="14" t="s">
        <v>86</v>
      </c>
      <c r="D46" s="14" t="s">
        <v>63</v>
      </c>
      <c r="E46" s="14" t="s">
        <v>80</v>
      </c>
      <c r="F46" s="15" t="s">
        <v>67</v>
      </c>
      <c r="G46" s="11" t="s">
        <v>22</v>
      </c>
      <c r="H46" s="7"/>
      <c r="I46" s="7">
        <v>1</v>
      </c>
      <c r="J46" s="7"/>
      <c r="K46" s="7"/>
      <c r="L46" s="7"/>
      <c r="M46" s="7"/>
      <c r="N46" s="7"/>
      <c r="O46" s="7"/>
      <c r="P46" s="7"/>
      <c r="Q46" s="7"/>
      <c r="R46" s="7"/>
      <c r="S46" s="7"/>
      <c r="T46" s="16">
        <f t="shared" ref="T46" si="13">IFERROR(IF(COUNT(H46:S46)&lt;1,0,IF(COUNT(H47:S47)&gt;=COUNT(H46:S46),1,(COUNT(H47:S47)/COUNT(H46:S46)))),0)</f>
        <v>0</v>
      </c>
      <c r="U46" s="17" t="s">
        <v>110</v>
      </c>
      <c r="V46" s="17"/>
      <c r="W46" s="18"/>
      <c r="X46" s="18"/>
    </row>
    <row r="47" spans="2:24" s="1" customFormat="1" ht="31.5" customHeight="1" x14ac:dyDescent="0.2">
      <c r="B47" s="14"/>
      <c r="C47" s="14"/>
      <c r="D47" s="14"/>
      <c r="E47" s="14"/>
      <c r="F47" s="15"/>
      <c r="G47" s="8" t="s">
        <v>23</v>
      </c>
      <c r="H47" s="7"/>
      <c r="I47" s="7"/>
      <c r="J47" s="7"/>
      <c r="K47" s="7"/>
      <c r="L47" s="7"/>
      <c r="M47" s="7"/>
      <c r="N47" s="7"/>
      <c r="O47" s="7"/>
      <c r="P47" s="7"/>
      <c r="Q47" s="7"/>
      <c r="R47" s="7"/>
      <c r="S47" s="7"/>
      <c r="T47" s="16"/>
      <c r="U47" s="17"/>
      <c r="V47" s="17"/>
      <c r="W47" s="18"/>
      <c r="X47" s="18"/>
    </row>
    <row r="48" spans="2:24" s="1" customFormat="1" ht="24" customHeight="1" x14ac:dyDescent="0.2">
      <c r="B48" s="14" t="s">
        <v>87</v>
      </c>
      <c r="C48" s="14" t="s">
        <v>88</v>
      </c>
      <c r="D48" s="14" t="s">
        <v>63</v>
      </c>
      <c r="E48" s="14" t="s">
        <v>80</v>
      </c>
      <c r="F48" s="15" t="s">
        <v>67</v>
      </c>
      <c r="G48" s="11" t="s">
        <v>22</v>
      </c>
      <c r="H48" s="7"/>
      <c r="I48" s="7">
        <v>1</v>
      </c>
      <c r="J48" s="7"/>
      <c r="K48" s="7"/>
      <c r="L48" s="7"/>
      <c r="M48" s="7"/>
      <c r="N48" s="7"/>
      <c r="O48" s="7"/>
      <c r="P48" s="7"/>
      <c r="Q48" s="7"/>
      <c r="R48" s="7"/>
      <c r="S48" s="7"/>
      <c r="T48" s="16">
        <f t="shared" ref="T48" si="14">IFERROR(IF(COUNT(H48:S48)&lt;1,0,IF(COUNT(H49:S49)&gt;=COUNT(H48:S48),1,(COUNT(H49:S49)/COUNT(H48:S48)))),0)</f>
        <v>0</v>
      </c>
      <c r="U48" s="17" t="s">
        <v>110</v>
      </c>
      <c r="V48" s="17"/>
      <c r="W48" s="18"/>
      <c r="X48" s="18"/>
    </row>
    <row r="49" spans="2:24" s="1" customFormat="1" ht="24" customHeight="1" x14ac:dyDescent="0.2">
      <c r="B49" s="14"/>
      <c r="C49" s="14"/>
      <c r="D49" s="14"/>
      <c r="E49" s="14"/>
      <c r="F49" s="15"/>
      <c r="G49" s="8" t="s">
        <v>23</v>
      </c>
      <c r="H49" s="7"/>
      <c r="I49" s="7"/>
      <c r="J49" s="7"/>
      <c r="K49" s="7"/>
      <c r="L49" s="7"/>
      <c r="M49" s="7"/>
      <c r="N49" s="7"/>
      <c r="O49" s="7"/>
      <c r="P49" s="7"/>
      <c r="Q49" s="7"/>
      <c r="R49" s="7"/>
      <c r="S49" s="7"/>
      <c r="T49" s="16"/>
      <c r="U49" s="17"/>
      <c r="V49" s="17"/>
      <c r="W49" s="18"/>
      <c r="X49" s="18"/>
    </row>
    <row r="50" spans="2:24" s="1" customFormat="1" ht="24" customHeight="1" x14ac:dyDescent="0.2">
      <c r="B50" s="14" t="s">
        <v>89</v>
      </c>
      <c r="C50" s="14" t="s">
        <v>90</v>
      </c>
      <c r="D50" s="14" t="s">
        <v>63</v>
      </c>
      <c r="E50" s="14" t="s">
        <v>80</v>
      </c>
      <c r="F50" s="15" t="s">
        <v>129</v>
      </c>
      <c r="G50" s="11" t="s">
        <v>22</v>
      </c>
      <c r="H50" s="7"/>
      <c r="I50" s="7">
        <v>1</v>
      </c>
      <c r="J50" s="7"/>
      <c r="K50" s="7"/>
      <c r="L50" s="7"/>
      <c r="M50" s="7"/>
      <c r="N50" s="7"/>
      <c r="O50" s="7"/>
      <c r="P50" s="7"/>
      <c r="Q50" s="7"/>
      <c r="R50" s="7"/>
      <c r="S50" s="7"/>
      <c r="T50" s="16">
        <f t="shared" ref="T50" si="15">IFERROR(IF(COUNT(H50:S50)&lt;1,0,IF(COUNT(H51:S51)&gt;=COUNT(H50:S50),1,(COUNT(H51:S51)/COUNT(H50:S50)))),0)</f>
        <v>0</v>
      </c>
      <c r="U50" s="17" t="s">
        <v>110</v>
      </c>
      <c r="V50" s="17"/>
      <c r="W50" s="18"/>
      <c r="X50" s="18"/>
    </row>
    <row r="51" spans="2:24" s="1" customFormat="1" ht="24" customHeight="1" x14ac:dyDescent="0.2">
      <c r="B51" s="14"/>
      <c r="C51" s="14"/>
      <c r="D51" s="14"/>
      <c r="E51" s="14"/>
      <c r="F51" s="15"/>
      <c r="G51" s="8" t="s">
        <v>23</v>
      </c>
      <c r="H51" s="7"/>
      <c r="I51" s="7"/>
      <c r="J51" s="7"/>
      <c r="K51" s="7"/>
      <c r="L51" s="7"/>
      <c r="M51" s="7"/>
      <c r="N51" s="7"/>
      <c r="O51" s="7"/>
      <c r="P51" s="7"/>
      <c r="Q51" s="7"/>
      <c r="R51" s="7"/>
      <c r="S51" s="7"/>
      <c r="T51" s="16"/>
      <c r="U51" s="17"/>
      <c r="V51" s="17"/>
      <c r="W51" s="18"/>
      <c r="X51" s="18"/>
    </row>
    <row r="52" spans="2:24" s="1" customFormat="1" ht="24" customHeight="1" x14ac:dyDescent="0.2">
      <c r="B52" s="14" t="s">
        <v>91</v>
      </c>
      <c r="C52" s="14" t="s">
        <v>92</v>
      </c>
      <c r="D52" s="14" t="s">
        <v>63</v>
      </c>
      <c r="E52" s="14" t="s">
        <v>80</v>
      </c>
      <c r="F52" s="15" t="s">
        <v>67</v>
      </c>
      <c r="G52" s="11" t="s">
        <v>22</v>
      </c>
      <c r="H52" s="7"/>
      <c r="I52" s="7">
        <v>1</v>
      </c>
      <c r="J52" s="7"/>
      <c r="K52" s="7"/>
      <c r="L52" s="7"/>
      <c r="M52" s="7"/>
      <c r="N52" s="7"/>
      <c r="O52" s="7"/>
      <c r="P52" s="7"/>
      <c r="Q52" s="7"/>
      <c r="R52" s="7"/>
      <c r="S52" s="7"/>
      <c r="T52" s="16">
        <f t="shared" ref="T52" si="16">IFERROR(IF(COUNT(H52:S52)&lt;1,0,IF(COUNT(H53:S53)&gt;=COUNT(H52:S52),1,(COUNT(H53:S53)/COUNT(H52:S52)))),0)</f>
        <v>0</v>
      </c>
      <c r="U52" s="17" t="s">
        <v>110</v>
      </c>
      <c r="V52" s="17"/>
      <c r="W52" s="18"/>
      <c r="X52" s="18"/>
    </row>
    <row r="53" spans="2:24" s="1" customFormat="1" ht="24" customHeight="1" x14ac:dyDescent="0.2">
      <c r="B53" s="14"/>
      <c r="C53" s="14"/>
      <c r="D53" s="14"/>
      <c r="E53" s="14"/>
      <c r="F53" s="15"/>
      <c r="G53" s="8" t="s">
        <v>23</v>
      </c>
      <c r="H53" s="7"/>
      <c r="I53" s="7"/>
      <c r="J53" s="7"/>
      <c r="K53" s="7"/>
      <c r="L53" s="7"/>
      <c r="M53" s="7"/>
      <c r="N53" s="7"/>
      <c r="O53" s="7"/>
      <c r="P53" s="7"/>
      <c r="Q53" s="7"/>
      <c r="R53" s="7"/>
      <c r="S53" s="7"/>
      <c r="T53" s="16"/>
      <c r="U53" s="17"/>
      <c r="V53" s="17"/>
      <c r="W53" s="18"/>
      <c r="X53" s="18"/>
    </row>
    <row r="54" spans="2:24" s="1" customFormat="1" ht="24" customHeight="1" x14ac:dyDescent="0.2">
      <c r="B54" s="14" t="s">
        <v>93</v>
      </c>
      <c r="C54" s="14" t="s">
        <v>94</v>
      </c>
      <c r="D54" s="14" t="s">
        <v>63</v>
      </c>
      <c r="E54" s="14" t="s">
        <v>80</v>
      </c>
      <c r="F54" s="15" t="s">
        <v>67</v>
      </c>
      <c r="G54" s="11" t="s">
        <v>22</v>
      </c>
      <c r="H54" s="7"/>
      <c r="I54" s="7">
        <v>1</v>
      </c>
      <c r="J54" s="7"/>
      <c r="K54" s="7"/>
      <c r="L54" s="7"/>
      <c r="M54" s="7"/>
      <c r="N54" s="7"/>
      <c r="O54" s="7"/>
      <c r="P54" s="7"/>
      <c r="Q54" s="7"/>
      <c r="R54" s="7"/>
      <c r="S54" s="7"/>
      <c r="T54" s="16">
        <f t="shared" ref="T54" si="17">IFERROR(IF(COUNT(H54:S54)&lt;1,0,IF(COUNT(H55:S55)&gt;=COUNT(H54:S54),1,(COUNT(H55:S55)/COUNT(H54:S54)))),0)</f>
        <v>0</v>
      </c>
      <c r="U54" s="17" t="s">
        <v>110</v>
      </c>
      <c r="V54" s="17"/>
      <c r="W54" s="18"/>
      <c r="X54" s="18"/>
    </row>
    <row r="55" spans="2:24" s="1" customFormat="1" ht="24" customHeight="1" x14ac:dyDescent="0.2">
      <c r="B55" s="14"/>
      <c r="C55" s="14"/>
      <c r="D55" s="14"/>
      <c r="E55" s="14"/>
      <c r="F55" s="15"/>
      <c r="G55" s="8" t="s">
        <v>23</v>
      </c>
      <c r="H55" s="7"/>
      <c r="I55" s="7"/>
      <c r="J55" s="7"/>
      <c r="K55" s="7"/>
      <c r="L55" s="7"/>
      <c r="M55" s="7"/>
      <c r="N55" s="7"/>
      <c r="O55" s="7"/>
      <c r="P55" s="7"/>
      <c r="Q55" s="7"/>
      <c r="R55" s="7"/>
      <c r="S55" s="7"/>
      <c r="T55" s="16"/>
      <c r="U55" s="17"/>
      <c r="V55" s="17"/>
      <c r="W55" s="18"/>
      <c r="X55" s="18"/>
    </row>
    <row r="56" spans="2:24" s="1" customFormat="1" ht="36.75" customHeight="1" x14ac:dyDescent="0.2">
      <c r="B56" s="14" t="s">
        <v>95</v>
      </c>
      <c r="C56" s="14" t="s">
        <v>96</v>
      </c>
      <c r="D56" s="14" t="s">
        <v>63</v>
      </c>
      <c r="E56" s="14" t="s">
        <v>80</v>
      </c>
      <c r="F56" s="15" t="s">
        <v>67</v>
      </c>
      <c r="G56" s="11" t="s">
        <v>22</v>
      </c>
      <c r="H56" s="7"/>
      <c r="I56" s="7">
        <v>1</v>
      </c>
      <c r="J56" s="7"/>
      <c r="K56" s="7"/>
      <c r="L56" s="7"/>
      <c r="M56" s="7"/>
      <c r="N56" s="7"/>
      <c r="O56" s="7"/>
      <c r="P56" s="7"/>
      <c r="Q56" s="7"/>
      <c r="R56" s="7"/>
      <c r="S56" s="7"/>
      <c r="T56" s="16">
        <f t="shared" ref="T56" si="18">IFERROR(IF(COUNT(H56:S56)&lt;1,0,IF(COUNT(H57:S57)&gt;=COUNT(H56:S56),1,(COUNT(H57:S57)/COUNT(H56:S56)))),0)</f>
        <v>0</v>
      </c>
      <c r="U56" s="17" t="s">
        <v>110</v>
      </c>
      <c r="V56" s="17"/>
      <c r="W56" s="18"/>
      <c r="X56" s="18"/>
    </row>
    <row r="57" spans="2:24" s="1" customFormat="1" ht="36.75" customHeight="1" x14ac:dyDescent="0.2">
      <c r="B57" s="14"/>
      <c r="C57" s="14"/>
      <c r="D57" s="14"/>
      <c r="E57" s="14"/>
      <c r="F57" s="15"/>
      <c r="G57" s="8" t="s">
        <v>23</v>
      </c>
      <c r="H57" s="7"/>
      <c r="I57" s="7"/>
      <c r="J57" s="7"/>
      <c r="K57" s="7"/>
      <c r="L57" s="7"/>
      <c r="M57" s="7"/>
      <c r="N57" s="7"/>
      <c r="O57" s="7"/>
      <c r="P57" s="7"/>
      <c r="Q57" s="7"/>
      <c r="R57" s="7"/>
      <c r="S57" s="7"/>
      <c r="T57" s="16"/>
      <c r="U57" s="17"/>
      <c r="V57" s="17"/>
      <c r="W57" s="18"/>
      <c r="X57" s="18"/>
    </row>
    <row r="58" spans="2:24" s="1" customFormat="1" ht="24" customHeight="1" x14ac:dyDescent="0.2">
      <c r="B58" s="14" t="s">
        <v>97</v>
      </c>
      <c r="C58" s="14" t="s">
        <v>98</v>
      </c>
      <c r="D58" s="14" t="s">
        <v>63</v>
      </c>
      <c r="E58" s="14" t="s">
        <v>80</v>
      </c>
      <c r="F58" s="15" t="s">
        <v>67</v>
      </c>
      <c r="G58" s="11" t="s">
        <v>22</v>
      </c>
      <c r="H58" s="7"/>
      <c r="I58" s="7">
        <v>1</v>
      </c>
      <c r="J58" s="7"/>
      <c r="K58" s="7"/>
      <c r="L58" s="7"/>
      <c r="M58" s="7"/>
      <c r="N58" s="7"/>
      <c r="O58" s="7"/>
      <c r="P58" s="7"/>
      <c r="Q58" s="7"/>
      <c r="R58" s="7"/>
      <c r="S58" s="7"/>
      <c r="T58" s="16">
        <f t="shared" ref="T58" si="19">IFERROR(IF(COUNT(H58:S58)&lt;1,0,IF(COUNT(H59:S59)&gt;=COUNT(H58:S58),1,(COUNT(H59:S59)/COUNT(H58:S58)))),0)</f>
        <v>0</v>
      </c>
      <c r="U58" s="17" t="s">
        <v>110</v>
      </c>
      <c r="V58" s="17"/>
      <c r="W58" s="18"/>
      <c r="X58" s="18"/>
    </row>
    <row r="59" spans="2:24" s="1" customFormat="1" ht="24" customHeight="1" x14ac:dyDescent="0.2">
      <c r="B59" s="14"/>
      <c r="C59" s="14"/>
      <c r="D59" s="14"/>
      <c r="E59" s="14"/>
      <c r="F59" s="15"/>
      <c r="G59" s="8" t="s">
        <v>23</v>
      </c>
      <c r="H59" s="7"/>
      <c r="I59" s="7"/>
      <c r="J59" s="7"/>
      <c r="K59" s="7"/>
      <c r="L59" s="7"/>
      <c r="M59" s="7"/>
      <c r="N59" s="7"/>
      <c r="O59" s="7"/>
      <c r="P59" s="7"/>
      <c r="Q59" s="7"/>
      <c r="R59" s="7"/>
      <c r="S59" s="7"/>
      <c r="T59" s="16"/>
      <c r="U59" s="17"/>
      <c r="V59" s="17"/>
      <c r="W59" s="18"/>
      <c r="X59" s="18"/>
    </row>
    <row r="60" spans="2:24" s="1" customFormat="1" ht="24" customHeight="1" x14ac:dyDescent="0.2">
      <c r="B60" s="14" t="s">
        <v>99</v>
      </c>
      <c r="C60" s="14" t="s">
        <v>100</v>
      </c>
      <c r="D60" s="14" t="s">
        <v>63</v>
      </c>
      <c r="E60" s="14" t="s">
        <v>80</v>
      </c>
      <c r="F60" s="15" t="s">
        <v>67</v>
      </c>
      <c r="G60" s="11" t="s">
        <v>22</v>
      </c>
      <c r="H60" s="7"/>
      <c r="I60" s="7">
        <v>1</v>
      </c>
      <c r="J60" s="7"/>
      <c r="K60" s="7"/>
      <c r="L60" s="7"/>
      <c r="M60" s="7"/>
      <c r="N60" s="7"/>
      <c r="O60" s="7"/>
      <c r="P60" s="7"/>
      <c r="Q60" s="7"/>
      <c r="R60" s="7"/>
      <c r="S60" s="7"/>
      <c r="T60" s="16">
        <f t="shared" ref="T60" si="20">IFERROR(IF(COUNT(H60:S60)&lt;1,0,IF(COUNT(H61:S61)&gt;=COUNT(H60:S60),1,(COUNT(H61:S61)/COUNT(H60:S60)))),0)</f>
        <v>0</v>
      </c>
      <c r="U60" s="17" t="s">
        <v>110</v>
      </c>
      <c r="V60" s="17"/>
      <c r="W60" s="18"/>
      <c r="X60" s="18"/>
    </row>
    <row r="61" spans="2:24" s="1" customFormat="1" ht="24" customHeight="1" x14ac:dyDescent="0.2">
      <c r="B61" s="14"/>
      <c r="C61" s="14"/>
      <c r="D61" s="14"/>
      <c r="E61" s="14"/>
      <c r="F61" s="15"/>
      <c r="G61" s="8" t="s">
        <v>23</v>
      </c>
      <c r="H61" s="7"/>
      <c r="I61" s="7"/>
      <c r="J61" s="7"/>
      <c r="K61" s="7"/>
      <c r="L61" s="7"/>
      <c r="M61" s="7"/>
      <c r="N61" s="7"/>
      <c r="O61" s="7"/>
      <c r="P61" s="7"/>
      <c r="Q61" s="7"/>
      <c r="R61" s="7"/>
      <c r="S61" s="7"/>
      <c r="T61" s="16"/>
      <c r="U61" s="17"/>
      <c r="V61" s="17"/>
      <c r="W61" s="18"/>
      <c r="X61" s="18"/>
    </row>
    <row r="62" spans="2:24" s="1" customFormat="1" ht="24" customHeight="1" x14ac:dyDescent="0.2">
      <c r="B62" s="14" t="s">
        <v>126</v>
      </c>
      <c r="C62" s="14" t="s">
        <v>127</v>
      </c>
      <c r="D62" s="14" t="s">
        <v>63</v>
      </c>
      <c r="E62" s="14" t="s">
        <v>80</v>
      </c>
      <c r="F62" s="15" t="s">
        <v>128</v>
      </c>
      <c r="G62" s="11" t="s">
        <v>22</v>
      </c>
      <c r="H62" s="7"/>
      <c r="I62" s="7"/>
      <c r="J62" s="7">
        <v>1</v>
      </c>
      <c r="K62" s="7"/>
      <c r="L62" s="7"/>
      <c r="M62" s="7"/>
      <c r="N62" s="7"/>
      <c r="O62" s="7"/>
      <c r="P62" s="7"/>
      <c r="Q62" s="7"/>
      <c r="R62" s="7"/>
      <c r="S62" s="7"/>
      <c r="T62" s="16">
        <f t="shared" ref="T62" si="21">IFERROR(IF(COUNT(H62:S62)&lt;1,0,IF(COUNT(H63:S63)&gt;=COUNT(H62:S62),1,(COUNT(H63:S63)/COUNT(H62:S62)))),0)</f>
        <v>0</v>
      </c>
      <c r="U62" s="17" t="s">
        <v>110</v>
      </c>
      <c r="V62" s="17"/>
      <c r="W62" s="18"/>
      <c r="X62" s="18"/>
    </row>
    <row r="63" spans="2:24" s="1" customFormat="1" ht="24" customHeight="1" x14ac:dyDescent="0.2">
      <c r="B63" s="14"/>
      <c r="C63" s="14"/>
      <c r="D63" s="14"/>
      <c r="E63" s="14"/>
      <c r="F63" s="15"/>
      <c r="G63" s="8" t="s">
        <v>23</v>
      </c>
      <c r="H63" s="7"/>
      <c r="I63" s="7"/>
      <c r="J63" s="7"/>
      <c r="K63" s="7"/>
      <c r="L63" s="7"/>
      <c r="M63" s="7"/>
      <c r="N63" s="7"/>
      <c r="O63" s="7"/>
      <c r="P63" s="7"/>
      <c r="Q63" s="7"/>
      <c r="R63" s="7"/>
      <c r="S63" s="7"/>
      <c r="T63" s="16"/>
      <c r="U63" s="17"/>
      <c r="V63" s="17"/>
      <c r="W63" s="18"/>
      <c r="X63" s="18"/>
    </row>
    <row r="64" spans="2:24" s="1" customFormat="1" ht="24" customHeight="1" x14ac:dyDescent="0.2">
      <c r="B64" s="14" t="s">
        <v>101</v>
      </c>
      <c r="C64" s="14" t="s">
        <v>102</v>
      </c>
      <c r="D64" s="14" t="s">
        <v>63</v>
      </c>
      <c r="E64" s="14" t="s">
        <v>80</v>
      </c>
      <c r="F64" s="15" t="s">
        <v>67</v>
      </c>
      <c r="G64" s="11" t="s">
        <v>22</v>
      </c>
      <c r="H64" s="7"/>
      <c r="I64" s="7"/>
      <c r="J64" s="7">
        <v>1</v>
      </c>
      <c r="K64" s="7"/>
      <c r="L64" s="7"/>
      <c r="M64" s="7"/>
      <c r="N64" s="7"/>
      <c r="O64" s="7"/>
      <c r="P64" s="7"/>
      <c r="Q64" s="7"/>
      <c r="R64" s="7"/>
      <c r="S64" s="7"/>
      <c r="T64" s="16">
        <f t="shared" ref="T64" si="22">IFERROR(IF(COUNT(H64:S64)&lt;1,0,IF(COUNT(H65:S65)&gt;=COUNT(H64:S64),1,(COUNT(H65:S65)/COUNT(H64:S64)))),0)</f>
        <v>0</v>
      </c>
      <c r="U64" s="17" t="s">
        <v>110</v>
      </c>
      <c r="V64" s="17"/>
      <c r="W64" s="18"/>
      <c r="X64" s="18"/>
    </row>
    <row r="65" spans="2:24" s="1" customFormat="1" ht="24" customHeight="1" x14ac:dyDescent="0.2">
      <c r="B65" s="14"/>
      <c r="C65" s="14"/>
      <c r="D65" s="14"/>
      <c r="E65" s="14"/>
      <c r="F65" s="15"/>
      <c r="G65" s="8" t="s">
        <v>23</v>
      </c>
      <c r="H65" s="7"/>
      <c r="I65" s="7"/>
      <c r="J65" s="7"/>
      <c r="K65" s="7"/>
      <c r="L65" s="7"/>
      <c r="M65" s="7"/>
      <c r="N65" s="7"/>
      <c r="O65" s="7"/>
      <c r="P65" s="7"/>
      <c r="Q65" s="7"/>
      <c r="R65" s="7"/>
      <c r="S65" s="7"/>
      <c r="T65" s="16"/>
      <c r="U65" s="17"/>
      <c r="V65" s="17"/>
      <c r="W65" s="18"/>
      <c r="X65" s="18"/>
    </row>
    <row r="66" spans="2:24" s="1" customFormat="1" ht="33.75" customHeight="1" x14ac:dyDescent="0.2">
      <c r="B66" s="14" t="s">
        <v>101</v>
      </c>
      <c r="C66" s="14" t="s">
        <v>103</v>
      </c>
      <c r="D66" s="14" t="s">
        <v>63</v>
      </c>
      <c r="E66" s="14" t="s">
        <v>80</v>
      </c>
      <c r="F66" s="15" t="s">
        <v>67</v>
      </c>
      <c r="G66" s="11" t="s">
        <v>22</v>
      </c>
      <c r="H66" s="7"/>
      <c r="I66" s="7"/>
      <c r="J66" s="7">
        <v>1</v>
      </c>
      <c r="K66" s="7"/>
      <c r="L66" s="7"/>
      <c r="M66" s="7"/>
      <c r="N66" s="7"/>
      <c r="O66" s="7"/>
      <c r="P66" s="7"/>
      <c r="Q66" s="7"/>
      <c r="R66" s="7"/>
      <c r="S66" s="7"/>
      <c r="T66" s="16">
        <f>IFERROR(IF(COUNT(H66:S66)&lt;1,0,IF(COUNT(H67:S67)&gt;=COUNT(H66:S66),1,(COUNT(H67:S67)/COUNT(H66:S66)))),0)</f>
        <v>0</v>
      </c>
      <c r="U66" s="17" t="s">
        <v>110</v>
      </c>
      <c r="V66" s="17"/>
      <c r="W66" s="18"/>
      <c r="X66" s="18"/>
    </row>
    <row r="67" spans="2:24" s="1" customFormat="1" ht="33.75" customHeight="1" x14ac:dyDescent="0.2">
      <c r="B67" s="14"/>
      <c r="C67" s="14"/>
      <c r="D67" s="14"/>
      <c r="E67" s="14"/>
      <c r="F67" s="15"/>
      <c r="G67" s="8" t="s">
        <v>23</v>
      </c>
      <c r="H67" s="7"/>
      <c r="I67" s="7"/>
      <c r="J67" s="7"/>
      <c r="K67" s="7"/>
      <c r="L67" s="7"/>
      <c r="M67" s="7"/>
      <c r="N67" s="7"/>
      <c r="O67" s="7"/>
      <c r="P67" s="7"/>
      <c r="Q67" s="7"/>
      <c r="R67" s="7"/>
      <c r="S67" s="7"/>
      <c r="T67" s="16"/>
      <c r="U67" s="17"/>
      <c r="V67" s="17"/>
      <c r="W67" s="18"/>
      <c r="X67" s="18"/>
    </row>
    <row r="68" spans="2:24" s="1" customFormat="1" ht="24" customHeight="1" x14ac:dyDescent="0.2">
      <c r="B68" s="14" t="s">
        <v>101</v>
      </c>
      <c r="C68" s="14" t="s">
        <v>104</v>
      </c>
      <c r="D68" s="14" t="s">
        <v>63</v>
      </c>
      <c r="E68" s="14" t="s">
        <v>80</v>
      </c>
      <c r="F68" s="15" t="s">
        <v>67</v>
      </c>
      <c r="G68" s="11" t="s">
        <v>22</v>
      </c>
      <c r="H68" s="7"/>
      <c r="I68" s="7"/>
      <c r="J68" s="7">
        <v>1</v>
      </c>
      <c r="K68" s="7"/>
      <c r="L68" s="7"/>
      <c r="M68" s="7"/>
      <c r="N68" s="7"/>
      <c r="O68" s="7"/>
      <c r="P68" s="7"/>
      <c r="Q68" s="7"/>
      <c r="R68" s="7"/>
      <c r="S68" s="7"/>
      <c r="T68" s="16">
        <f>IFERROR(IF(COUNT(H68:S68)&lt;1,0,IF(COUNT(H69:S69)&gt;=COUNT(H68:S68),1,(COUNT(H69:S69)/COUNT(H68:S68)))),0)</f>
        <v>0</v>
      </c>
      <c r="U68" s="17" t="s">
        <v>110</v>
      </c>
      <c r="V68" s="17"/>
      <c r="W68" s="18"/>
      <c r="X68" s="18"/>
    </row>
    <row r="69" spans="2:24" s="1" customFormat="1" ht="24" customHeight="1" x14ac:dyDescent="0.2">
      <c r="B69" s="14"/>
      <c r="C69" s="14"/>
      <c r="D69" s="14"/>
      <c r="E69" s="14"/>
      <c r="F69" s="15"/>
      <c r="G69" s="8" t="s">
        <v>23</v>
      </c>
      <c r="H69" s="7"/>
      <c r="I69" s="7"/>
      <c r="J69" s="7"/>
      <c r="K69" s="7"/>
      <c r="L69" s="7"/>
      <c r="M69" s="7"/>
      <c r="N69" s="7"/>
      <c r="O69" s="7"/>
      <c r="P69" s="7"/>
      <c r="Q69" s="7"/>
      <c r="R69" s="7"/>
      <c r="S69" s="7"/>
      <c r="T69" s="16"/>
      <c r="U69" s="17"/>
      <c r="V69" s="17"/>
      <c r="W69" s="18"/>
      <c r="X69" s="18"/>
    </row>
    <row r="70" spans="2:24" s="1" customFormat="1" ht="24" customHeight="1" x14ac:dyDescent="0.2">
      <c r="B70" s="14" t="s">
        <v>101</v>
      </c>
      <c r="C70" s="14" t="s">
        <v>105</v>
      </c>
      <c r="D70" s="14" t="s">
        <v>63</v>
      </c>
      <c r="E70" s="14" t="s">
        <v>80</v>
      </c>
      <c r="F70" s="15" t="s">
        <v>130</v>
      </c>
      <c r="G70" s="11" t="s">
        <v>22</v>
      </c>
      <c r="H70" s="7"/>
      <c r="I70" s="7"/>
      <c r="J70" s="7">
        <v>1</v>
      </c>
      <c r="K70" s="7"/>
      <c r="L70" s="7"/>
      <c r="M70" s="7"/>
      <c r="N70" s="7"/>
      <c r="O70" s="7"/>
      <c r="P70" s="7"/>
      <c r="Q70" s="7"/>
      <c r="R70" s="7"/>
      <c r="S70" s="7"/>
      <c r="T70" s="16">
        <f>IFERROR(IF(COUNT(H70:S70)&lt;1,0,IF(COUNT(H71:S71)&gt;=COUNT(H70:S70),1,(COUNT(H71:S71)/COUNT(H70:S70)))),0)</f>
        <v>0</v>
      </c>
      <c r="U70" s="17" t="s">
        <v>110</v>
      </c>
      <c r="V70" s="17"/>
      <c r="W70" s="18"/>
      <c r="X70" s="18"/>
    </row>
    <row r="71" spans="2:24" s="1" customFormat="1" ht="24" customHeight="1" x14ac:dyDescent="0.2">
      <c r="B71" s="14"/>
      <c r="C71" s="14"/>
      <c r="D71" s="14"/>
      <c r="E71" s="14"/>
      <c r="F71" s="15"/>
      <c r="G71" s="8" t="s">
        <v>23</v>
      </c>
      <c r="H71" s="7"/>
      <c r="I71" s="7"/>
      <c r="J71" s="7"/>
      <c r="K71" s="7"/>
      <c r="L71" s="7"/>
      <c r="M71" s="7"/>
      <c r="N71" s="7"/>
      <c r="O71" s="7"/>
      <c r="P71" s="7"/>
      <c r="Q71" s="7"/>
      <c r="R71" s="7"/>
      <c r="S71" s="7"/>
      <c r="T71" s="16"/>
      <c r="U71" s="17"/>
      <c r="V71" s="17"/>
      <c r="W71" s="18"/>
      <c r="X71" s="18"/>
    </row>
    <row r="72" spans="2:24" s="1" customFormat="1" ht="40.5" customHeight="1" x14ac:dyDescent="0.2">
      <c r="B72" s="14" t="s">
        <v>101</v>
      </c>
      <c r="C72" s="14" t="s">
        <v>106</v>
      </c>
      <c r="D72" s="14" t="s">
        <v>63</v>
      </c>
      <c r="E72" s="14" t="s">
        <v>80</v>
      </c>
      <c r="F72" s="15" t="s">
        <v>67</v>
      </c>
      <c r="G72" s="11" t="s">
        <v>22</v>
      </c>
      <c r="H72" s="7"/>
      <c r="I72" s="7"/>
      <c r="J72" s="7">
        <v>1</v>
      </c>
      <c r="K72" s="7"/>
      <c r="L72" s="7"/>
      <c r="M72" s="7"/>
      <c r="N72" s="7"/>
      <c r="O72" s="7"/>
      <c r="P72" s="7"/>
      <c r="Q72" s="7"/>
      <c r="R72" s="7"/>
      <c r="S72" s="7"/>
      <c r="T72" s="16">
        <f>IFERROR(IF(COUNT(H72:S72)&lt;1,0,IF(COUNT(H73:S73)&gt;=COUNT(H72:S72),1,(COUNT(H73:S73)/COUNT(H72:S72)))),0)</f>
        <v>0</v>
      </c>
      <c r="U72" s="17" t="s">
        <v>110</v>
      </c>
      <c r="V72" s="17"/>
      <c r="W72" s="18"/>
      <c r="X72" s="18"/>
    </row>
    <row r="73" spans="2:24" s="1" customFormat="1" ht="40.5" customHeight="1" x14ac:dyDescent="0.2">
      <c r="B73" s="14"/>
      <c r="C73" s="14"/>
      <c r="D73" s="14"/>
      <c r="E73" s="14"/>
      <c r="F73" s="15"/>
      <c r="G73" s="8" t="s">
        <v>23</v>
      </c>
      <c r="H73" s="7"/>
      <c r="I73" s="7"/>
      <c r="J73" s="7"/>
      <c r="K73" s="7"/>
      <c r="L73" s="7"/>
      <c r="M73" s="7"/>
      <c r="N73" s="7"/>
      <c r="O73" s="7"/>
      <c r="P73" s="7"/>
      <c r="Q73" s="7"/>
      <c r="R73" s="7"/>
      <c r="S73" s="7"/>
      <c r="T73" s="16"/>
      <c r="U73" s="17"/>
      <c r="V73" s="17"/>
      <c r="W73" s="18"/>
      <c r="X73" s="18"/>
    </row>
    <row r="74" spans="2:24" s="1" customFormat="1" ht="40.5" customHeight="1" x14ac:dyDescent="0.2">
      <c r="B74" s="14" t="s">
        <v>101</v>
      </c>
      <c r="C74" s="14" t="s">
        <v>107</v>
      </c>
      <c r="D74" s="14" t="s">
        <v>63</v>
      </c>
      <c r="E74" s="14" t="s">
        <v>80</v>
      </c>
      <c r="F74" s="15" t="s">
        <v>130</v>
      </c>
      <c r="G74" s="11" t="s">
        <v>22</v>
      </c>
      <c r="H74" s="7"/>
      <c r="I74" s="7"/>
      <c r="J74" s="7">
        <v>1</v>
      </c>
      <c r="K74" s="7"/>
      <c r="L74" s="7"/>
      <c r="M74" s="7"/>
      <c r="N74" s="7"/>
      <c r="O74" s="7"/>
      <c r="P74" s="7"/>
      <c r="Q74" s="7"/>
      <c r="R74" s="7"/>
      <c r="S74" s="7"/>
      <c r="T74" s="16">
        <f>IFERROR(IF(COUNT(H74:S74)&lt;1,0,IF(COUNT(H75:S75)&gt;=COUNT(H74:S74),1,(COUNT(H75:S75)/COUNT(H74:S74)))),0)</f>
        <v>0</v>
      </c>
      <c r="U74" s="17" t="s">
        <v>110</v>
      </c>
      <c r="V74" s="17"/>
      <c r="W74" s="18"/>
      <c r="X74" s="18"/>
    </row>
    <row r="75" spans="2:24" s="1" customFormat="1" ht="40.5" customHeight="1" x14ac:dyDescent="0.2">
      <c r="B75" s="14"/>
      <c r="C75" s="14"/>
      <c r="D75" s="14"/>
      <c r="E75" s="14"/>
      <c r="F75" s="15"/>
      <c r="G75" s="8" t="s">
        <v>23</v>
      </c>
      <c r="H75" s="7"/>
      <c r="I75" s="7"/>
      <c r="J75" s="7"/>
      <c r="K75" s="7"/>
      <c r="L75" s="7"/>
      <c r="M75" s="7"/>
      <c r="N75" s="7"/>
      <c r="O75" s="7"/>
      <c r="P75" s="7"/>
      <c r="Q75" s="7"/>
      <c r="R75" s="7"/>
      <c r="S75" s="7"/>
      <c r="T75" s="16"/>
      <c r="U75" s="17"/>
      <c r="V75" s="17"/>
      <c r="W75" s="18"/>
      <c r="X75" s="18"/>
    </row>
    <row r="76" spans="2:24" s="1" customFormat="1" ht="24" customHeight="1" x14ac:dyDescent="0.2">
      <c r="B76" s="72" t="s">
        <v>99</v>
      </c>
      <c r="C76" s="19" t="s">
        <v>131</v>
      </c>
      <c r="D76" s="14" t="s">
        <v>63</v>
      </c>
      <c r="E76" s="14" t="s">
        <v>80</v>
      </c>
      <c r="F76" s="15" t="s">
        <v>67</v>
      </c>
      <c r="G76" s="11" t="s">
        <v>22</v>
      </c>
      <c r="H76" s="7"/>
      <c r="I76" s="7"/>
      <c r="J76" s="7">
        <v>1</v>
      </c>
      <c r="K76" s="7"/>
      <c r="L76" s="7"/>
      <c r="M76" s="7"/>
      <c r="N76" s="7"/>
      <c r="O76" s="7"/>
      <c r="P76" s="7"/>
      <c r="Q76" s="7"/>
      <c r="R76" s="7"/>
      <c r="S76" s="7"/>
      <c r="T76" s="16">
        <f>IFERROR(IF(COUNT(H76:S76)&lt;1,0,IF(COUNT(H77:S77)&gt;=COUNT(H76:S76),1,(COUNT(H77:S77)/COUNT(H76:S76)))),0)</f>
        <v>0</v>
      </c>
      <c r="U76" s="17" t="s">
        <v>110</v>
      </c>
      <c r="V76" s="17"/>
      <c r="W76" s="18"/>
      <c r="X76" s="18"/>
    </row>
    <row r="77" spans="2:24" s="1" customFormat="1" ht="24" customHeight="1" x14ac:dyDescent="0.2">
      <c r="B77" s="73"/>
      <c r="C77" s="20"/>
      <c r="D77" s="14"/>
      <c r="E77" s="14"/>
      <c r="F77" s="15"/>
      <c r="G77" s="8" t="s">
        <v>23</v>
      </c>
      <c r="H77" s="7"/>
      <c r="I77" s="7"/>
      <c r="J77" s="7"/>
      <c r="K77" s="7"/>
      <c r="L77" s="7"/>
      <c r="M77" s="7"/>
      <c r="N77" s="7"/>
      <c r="O77" s="7"/>
      <c r="P77" s="7"/>
      <c r="Q77" s="7"/>
      <c r="R77" s="7"/>
      <c r="S77" s="7"/>
      <c r="T77" s="16"/>
      <c r="U77" s="17"/>
      <c r="V77" s="17"/>
      <c r="W77" s="18"/>
      <c r="X77" s="18"/>
    </row>
    <row r="78" spans="2:24" s="1" customFormat="1" ht="24" customHeight="1" x14ac:dyDescent="0.2">
      <c r="B78" s="73"/>
      <c r="C78" s="19" t="s">
        <v>132</v>
      </c>
      <c r="D78" s="14" t="s">
        <v>63</v>
      </c>
      <c r="E78" s="14" t="s">
        <v>80</v>
      </c>
      <c r="F78" s="15" t="s">
        <v>67</v>
      </c>
      <c r="G78" s="11" t="s">
        <v>22</v>
      </c>
      <c r="H78" s="7"/>
      <c r="I78" s="7"/>
      <c r="J78" s="7">
        <v>1</v>
      </c>
      <c r="K78" s="7"/>
      <c r="L78" s="7"/>
      <c r="M78" s="7"/>
      <c r="N78" s="7"/>
      <c r="O78" s="7"/>
      <c r="P78" s="7"/>
      <c r="Q78" s="7"/>
      <c r="R78" s="7"/>
      <c r="S78" s="7"/>
      <c r="T78" s="16">
        <f>IFERROR(IF(COUNT(H78:S78)&lt;1,0,IF(COUNT(H79:S79)&gt;=COUNT(H78:S78),1,(COUNT(H79:S79)/COUNT(H78:S78)))),0)</f>
        <v>0</v>
      </c>
      <c r="U78" s="17" t="s">
        <v>110</v>
      </c>
      <c r="V78" s="17"/>
      <c r="W78" s="18"/>
      <c r="X78" s="18"/>
    </row>
    <row r="79" spans="2:24" s="1" customFormat="1" ht="24" customHeight="1" x14ac:dyDescent="0.2">
      <c r="B79" s="73"/>
      <c r="C79" s="20"/>
      <c r="D79" s="14"/>
      <c r="E79" s="14"/>
      <c r="F79" s="15"/>
      <c r="G79" s="8" t="s">
        <v>23</v>
      </c>
      <c r="H79" s="7"/>
      <c r="I79" s="7"/>
      <c r="J79" s="7"/>
      <c r="K79" s="7"/>
      <c r="L79" s="7"/>
      <c r="M79" s="7"/>
      <c r="N79" s="7"/>
      <c r="O79" s="7"/>
      <c r="P79" s="7"/>
      <c r="Q79" s="7"/>
      <c r="R79" s="7"/>
      <c r="S79" s="7"/>
      <c r="T79" s="16"/>
      <c r="U79" s="17"/>
      <c r="V79" s="17"/>
      <c r="W79" s="18"/>
      <c r="X79" s="18"/>
    </row>
    <row r="80" spans="2:24" s="1" customFormat="1" ht="24" customHeight="1" x14ac:dyDescent="0.2">
      <c r="B80" s="73"/>
      <c r="C80" s="19" t="s">
        <v>134</v>
      </c>
      <c r="D80" s="14" t="s">
        <v>63</v>
      </c>
      <c r="E80" s="14" t="s">
        <v>80</v>
      </c>
      <c r="F80" s="15" t="s">
        <v>67</v>
      </c>
      <c r="G80" s="11" t="s">
        <v>22</v>
      </c>
      <c r="H80" s="7"/>
      <c r="I80" s="7"/>
      <c r="J80" s="7">
        <v>1</v>
      </c>
      <c r="K80" s="7"/>
      <c r="L80" s="7"/>
      <c r="M80" s="7"/>
      <c r="N80" s="7"/>
      <c r="O80" s="7"/>
      <c r="P80" s="7"/>
      <c r="Q80" s="7"/>
      <c r="R80" s="7"/>
      <c r="S80" s="7"/>
      <c r="T80" s="16">
        <f>IFERROR(IF(COUNT(H80:S80)&lt;1,0,IF(COUNT(H81:S81)&gt;=COUNT(H80:S80),1,(COUNT(H81:S81)/COUNT(H80:S80)))),0)</f>
        <v>0</v>
      </c>
      <c r="U80" s="17" t="s">
        <v>110</v>
      </c>
      <c r="V80" s="17"/>
      <c r="W80" s="18"/>
      <c r="X80" s="18"/>
    </row>
    <row r="81" spans="2:24" s="1" customFormat="1" ht="24" customHeight="1" x14ac:dyDescent="0.2">
      <c r="B81" s="73"/>
      <c r="C81" s="20"/>
      <c r="D81" s="14"/>
      <c r="E81" s="14"/>
      <c r="F81" s="15"/>
      <c r="G81" s="8" t="s">
        <v>23</v>
      </c>
      <c r="H81" s="7"/>
      <c r="I81" s="7"/>
      <c r="J81" s="7"/>
      <c r="K81" s="7"/>
      <c r="L81" s="7"/>
      <c r="M81" s="7"/>
      <c r="N81" s="7"/>
      <c r="O81" s="7"/>
      <c r="P81" s="7"/>
      <c r="Q81" s="7"/>
      <c r="R81" s="7"/>
      <c r="S81" s="7"/>
      <c r="T81" s="16"/>
      <c r="U81" s="17"/>
      <c r="V81" s="17"/>
      <c r="W81" s="18"/>
      <c r="X81" s="18"/>
    </row>
    <row r="82" spans="2:24" s="1" customFormat="1" ht="24" customHeight="1" x14ac:dyDescent="0.2">
      <c r="B82" s="73"/>
      <c r="C82" s="19" t="s">
        <v>135</v>
      </c>
      <c r="D82" s="14" t="s">
        <v>63</v>
      </c>
      <c r="E82" s="14" t="s">
        <v>80</v>
      </c>
      <c r="F82" s="15" t="s">
        <v>67</v>
      </c>
      <c r="G82" s="11" t="s">
        <v>22</v>
      </c>
      <c r="H82" s="7"/>
      <c r="I82" s="7"/>
      <c r="J82" s="7">
        <v>1</v>
      </c>
      <c r="K82" s="7"/>
      <c r="L82" s="7"/>
      <c r="M82" s="7"/>
      <c r="N82" s="7"/>
      <c r="O82" s="7"/>
      <c r="P82" s="7"/>
      <c r="Q82" s="7"/>
      <c r="R82" s="7"/>
      <c r="S82" s="7"/>
      <c r="T82" s="16">
        <f>IFERROR(IF(COUNT(H82:S82)&lt;1,0,IF(COUNT(H83:S83)&gt;=COUNT(H82:S82),1,(COUNT(H83:S83)/COUNT(H82:S82)))),0)</f>
        <v>0</v>
      </c>
      <c r="U82" s="17" t="s">
        <v>110</v>
      </c>
      <c r="V82" s="17"/>
      <c r="W82" s="18"/>
      <c r="X82" s="18"/>
    </row>
    <row r="83" spans="2:24" s="1" customFormat="1" ht="24" customHeight="1" x14ac:dyDescent="0.2">
      <c r="B83" s="73"/>
      <c r="C83" s="20"/>
      <c r="D83" s="14"/>
      <c r="E83" s="14"/>
      <c r="F83" s="15"/>
      <c r="G83" s="8" t="s">
        <v>23</v>
      </c>
      <c r="H83" s="7"/>
      <c r="I83" s="7"/>
      <c r="J83" s="7"/>
      <c r="K83" s="7"/>
      <c r="L83" s="7"/>
      <c r="M83" s="7"/>
      <c r="N83" s="7"/>
      <c r="O83" s="7"/>
      <c r="P83" s="7"/>
      <c r="Q83" s="7"/>
      <c r="R83" s="7"/>
      <c r="S83" s="7"/>
      <c r="T83" s="16"/>
      <c r="U83" s="17"/>
      <c r="V83" s="17"/>
      <c r="W83" s="18"/>
      <c r="X83" s="18"/>
    </row>
    <row r="84" spans="2:24" s="1" customFormat="1" ht="42" customHeight="1" x14ac:dyDescent="0.2">
      <c r="B84" s="73"/>
      <c r="C84" s="19" t="s">
        <v>133</v>
      </c>
      <c r="D84" s="14" t="s">
        <v>63</v>
      </c>
      <c r="E84" s="14" t="s">
        <v>80</v>
      </c>
      <c r="F84" s="15" t="s">
        <v>67</v>
      </c>
      <c r="G84" s="11" t="s">
        <v>22</v>
      </c>
      <c r="H84" s="7"/>
      <c r="I84" s="7"/>
      <c r="J84" s="7">
        <v>1</v>
      </c>
      <c r="K84" s="7"/>
      <c r="L84" s="7"/>
      <c r="M84" s="7"/>
      <c r="N84" s="7"/>
      <c r="O84" s="7"/>
      <c r="P84" s="7"/>
      <c r="Q84" s="7"/>
      <c r="R84" s="7"/>
      <c r="S84" s="7"/>
      <c r="T84" s="16">
        <f>IFERROR(IF(COUNT(H84:S84)&lt;1,0,IF(COUNT(H85:S85)&gt;=COUNT(H84:S84),1,(COUNT(H85:S85)/COUNT(H84:S84)))),0)</f>
        <v>0</v>
      </c>
      <c r="U84" s="17" t="s">
        <v>110</v>
      </c>
      <c r="V84" s="17"/>
      <c r="W84" s="18"/>
      <c r="X84" s="18"/>
    </row>
    <row r="85" spans="2:24" s="1" customFormat="1" ht="42" customHeight="1" x14ac:dyDescent="0.2">
      <c r="B85" s="73"/>
      <c r="C85" s="20"/>
      <c r="D85" s="14"/>
      <c r="E85" s="14"/>
      <c r="F85" s="15"/>
      <c r="G85" s="8" t="s">
        <v>23</v>
      </c>
      <c r="H85" s="7"/>
      <c r="I85" s="7"/>
      <c r="J85" s="7"/>
      <c r="K85" s="7"/>
      <c r="L85" s="7"/>
      <c r="M85" s="7"/>
      <c r="N85" s="7"/>
      <c r="O85" s="7"/>
      <c r="P85" s="7"/>
      <c r="Q85" s="7"/>
      <c r="R85" s="7"/>
      <c r="S85" s="7"/>
      <c r="T85" s="16"/>
      <c r="U85" s="17"/>
      <c r="V85" s="17"/>
      <c r="W85" s="18"/>
      <c r="X85" s="18"/>
    </row>
    <row r="86" spans="2:24" s="1" customFormat="1" ht="24" customHeight="1" x14ac:dyDescent="0.2">
      <c r="B86" s="73"/>
      <c r="C86" s="19" t="s">
        <v>136</v>
      </c>
      <c r="D86" s="14" t="s">
        <v>63</v>
      </c>
      <c r="E86" s="14" t="s">
        <v>80</v>
      </c>
      <c r="F86" s="15" t="s">
        <v>67</v>
      </c>
      <c r="G86" s="11" t="s">
        <v>22</v>
      </c>
      <c r="H86" s="7"/>
      <c r="I86" s="7"/>
      <c r="J86" s="7">
        <v>1</v>
      </c>
      <c r="K86" s="7"/>
      <c r="L86" s="7"/>
      <c r="M86" s="7"/>
      <c r="N86" s="7"/>
      <c r="O86" s="7"/>
      <c r="P86" s="7"/>
      <c r="Q86" s="7"/>
      <c r="R86" s="7"/>
      <c r="S86" s="7"/>
      <c r="T86" s="16">
        <f>IFERROR(IF(COUNT(H86:S86)&lt;1,0,IF(COUNT(H87:S87)&gt;=COUNT(H86:S86),1,(COUNT(H87:S87)/COUNT(H86:S86)))),0)</f>
        <v>0</v>
      </c>
      <c r="U86" s="17" t="s">
        <v>110</v>
      </c>
      <c r="V86" s="17"/>
      <c r="W86" s="18"/>
      <c r="X86" s="18"/>
    </row>
    <row r="87" spans="2:24" s="1" customFormat="1" ht="24" customHeight="1" x14ac:dyDescent="0.2">
      <c r="B87" s="73"/>
      <c r="C87" s="20"/>
      <c r="D87" s="14"/>
      <c r="E87" s="14"/>
      <c r="F87" s="15"/>
      <c r="G87" s="8" t="s">
        <v>23</v>
      </c>
      <c r="H87" s="7"/>
      <c r="I87" s="7"/>
      <c r="J87" s="7"/>
      <c r="K87" s="7"/>
      <c r="L87" s="7"/>
      <c r="M87" s="7"/>
      <c r="N87" s="7"/>
      <c r="O87" s="7"/>
      <c r="P87" s="7"/>
      <c r="Q87" s="7"/>
      <c r="R87" s="7"/>
      <c r="S87" s="7"/>
      <c r="T87" s="16"/>
      <c r="U87" s="17"/>
      <c r="V87" s="17"/>
      <c r="W87" s="18"/>
      <c r="X87" s="18"/>
    </row>
    <row r="88" spans="2:24" s="1" customFormat="1" ht="24" customHeight="1" x14ac:dyDescent="0.2">
      <c r="B88" s="73"/>
      <c r="C88" s="19" t="s">
        <v>137</v>
      </c>
      <c r="D88" s="14" t="s">
        <v>63</v>
      </c>
      <c r="E88" s="14" t="s">
        <v>80</v>
      </c>
      <c r="F88" s="15" t="s">
        <v>67</v>
      </c>
      <c r="G88" s="11" t="s">
        <v>22</v>
      </c>
      <c r="H88" s="7"/>
      <c r="I88" s="7"/>
      <c r="J88" s="7">
        <v>1</v>
      </c>
      <c r="K88" s="7"/>
      <c r="L88" s="7"/>
      <c r="M88" s="7"/>
      <c r="N88" s="7"/>
      <c r="O88" s="7"/>
      <c r="P88" s="7"/>
      <c r="Q88" s="7"/>
      <c r="R88" s="7"/>
      <c r="S88" s="7"/>
      <c r="T88" s="16">
        <f>IFERROR(IF(COUNT(H88:S88)&lt;1,0,IF(COUNT(H89:S89)&gt;=COUNT(H88:S88),1,(COUNT(H89:S89)/COUNT(H88:S88)))),0)</f>
        <v>0</v>
      </c>
      <c r="U88" s="17" t="s">
        <v>110</v>
      </c>
      <c r="V88" s="17"/>
      <c r="W88" s="18"/>
      <c r="X88" s="18"/>
    </row>
    <row r="89" spans="2:24" s="1" customFormat="1" ht="24" customHeight="1" x14ac:dyDescent="0.2">
      <c r="B89" s="74"/>
      <c r="C89" s="20"/>
      <c r="D89" s="14"/>
      <c r="E89" s="14"/>
      <c r="F89" s="15"/>
      <c r="G89" s="8" t="s">
        <v>23</v>
      </c>
      <c r="H89" s="7"/>
      <c r="I89" s="7"/>
      <c r="J89" s="7"/>
      <c r="K89" s="7"/>
      <c r="L89" s="7"/>
      <c r="M89" s="7"/>
      <c r="N89" s="7"/>
      <c r="O89" s="7"/>
      <c r="P89" s="7"/>
      <c r="Q89" s="7"/>
      <c r="R89" s="7"/>
      <c r="S89" s="7"/>
      <c r="T89" s="16"/>
      <c r="U89" s="17"/>
      <c r="V89" s="17"/>
      <c r="W89" s="18"/>
      <c r="X89" s="18"/>
    </row>
    <row r="90" spans="2:24" s="1" customFormat="1" ht="24" customHeight="1" x14ac:dyDescent="0.2">
      <c r="B90" s="73" t="s">
        <v>188</v>
      </c>
      <c r="C90" s="14" t="s">
        <v>139</v>
      </c>
      <c r="D90" s="14" t="s">
        <v>63</v>
      </c>
      <c r="E90" s="14" t="s">
        <v>80</v>
      </c>
      <c r="F90" s="15" t="s">
        <v>67</v>
      </c>
      <c r="G90" s="11" t="s">
        <v>22</v>
      </c>
      <c r="H90" s="7"/>
      <c r="I90" s="7"/>
      <c r="J90" s="7">
        <v>1</v>
      </c>
      <c r="K90" s="7"/>
      <c r="L90" s="7"/>
      <c r="M90" s="7"/>
      <c r="N90" s="7"/>
      <c r="O90" s="7"/>
      <c r="P90" s="7"/>
      <c r="Q90" s="7"/>
      <c r="R90" s="7"/>
      <c r="S90" s="7"/>
      <c r="T90" s="16">
        <f>IFERROR(IF(COUNT(H90:S90)&lt;1,0,IF(COUNT(H91:S91)&gt;=COUNT(H90:S90),1,(COUNT(H91:S91)/COUNT(H90:S90)))),0)</f>
        <v>0</v>
      </c>
      <c r="U90" s="17" t="s">
        <v>110</v>
      </c>
      <c r="V90" s="17"/>
      <c r="W90" s="18"/>
      <c r="X90" s="18"/>
    </row>
    <row r="91" spans="2:24" s="1" customFormat="1" ht="24" customHeight="1" x14ac:dyDescent="0.2">
      <c r="B91" s="73"/>
      <c r="C91" s="14"/>
      <c r="D91" s="14"/>
      <c r="E91" s="14"/>
      <c r="F91" s="15"/>
      <c r="G91" s="8" t="s">
        <v>23</v>
      </c>
      <c r="H91" s="7"/>
      <c r="I91" s="7"/>
      <c r="J91" s="7"/>
      <c r="K91" s="7"/>
      <c r="L91" s="7"/>
      <c r="M91" s="7"/>
      <c r="N91" s="7"/>
      <c r="O91" s="7"/>
      <c r="P91" s="7"/>
      <c r="Q91" s="7"/>
      <c r="R91" s="7"/>
      <c r="S91" s="7"/>
      <c r="T91" s="16"/>
      <c r="U91" s="17"/>
      <c r="V91" s="17"/>
      <c r="W91" s="18"/>
      <c r="X91" s="18"/>
    </row>
    <row r="92" spans="2:24" s="1" customFormat="1" ht="24" customHeight="1" x14ac:dyDescent="0.2">
      <c r="B92" s="73"/>
      <c r="C92" s="14" t="s">
        <v>138</v>
      </c>
      <c r="D92" s="14" t="s">
        <v>63</v>
      </c>
      <c r="E92" s="14" t="s">
        <v>80</v>
      </c>
      <c r="F92" s="15" t="s">
        <v>67</v>
      </c>
      <c r="G92" s="11" t="s">
        <v>22</v>
      </c>
      <c r="H92" s="7"/>
      <c r="I92" s="7"/>
      <c r="J92" s="7">
        <v>1</v>
      </c>
      <c r="K92" s="7"/>
      <c r="L92" s="7"/>
      <c r="M92" s="7"/>
      <c r="N92" s="7"/>
      <c r="O92" s="7"/>
      <c r="P92" s="7"/>
      <c r="Q92" s="7"/>
      <c r="R92" s="7"/>
      <c r="S92" s="7"/>
      <c r="T92" s="16">
        <f>IFERROR(IF(COUNT(H92:S92)&lt;1,0,IF(COUNT(H93:S93)&gt;=COUNT(H92:S92),1,(COUNT(H93:S93)/COUNT(H92:S92)))),0)</f>
        <v>0</v>
      </c>
      <c r="U92" s="17" t="s">
        <v>110</v>
      </c>
      <c r="V92" s="17"/>
      <c r="W92" s="18"/>
      <c r="X92" s="18"/>
    </row>
    <row r="93" spans="2:24" s="1" customFormat="1" ht="24" customHeight="1" x14ac:dyDescent="0.2">
      <c r="B93" s="73"/>
      <c r="C93" s="14"/>
      <c r="D93" s="14"/>
      <c r="E93" s="14"/>
      <c r="F93" s="15"/>
      <c r="G93" s="8" t="s">
        <v>23</v>
      </c>
      <c r="H93" s="7"/>
      <c r="I93" s="7"/>
      <c r="J93" s="7"/>
      <c r="K93" s="7"/>
      <c r="L93" s="7"/>
      <c r="M93" s="7"/>
      <c r="N93" s="7"/>
      <c r="O93" s="7"/>
      <c r="P93" s="7"/>
      <c r="Q93" s="7"/>
      <c r="R93" s="7"/>
      <c r="S93" s="7"/>
      <c r="T93" s="16"/>
      <c r="U93" s="17"/>
      <c r="V93" s="17"/>
      <c r="W93" s="18"/>
      <c r="X93" s="18"/>
    </row>
    <row r="94" spans="2:24" s="1" customFormat="1" ht="24" customHeight="1" x14ac:dyDescent="0.2">
      <c r="B94" s="73"/>
      <c r="C94" s="14" t="s">
        <v>140</v>
      </c>
      <c r="D94" s="14" t="s">
        <v>63</v>
      </c>
      <c r="E94" s="14" t="s">
        <v>80</v>
      </c>
      <c r="F94" s="15" t="s">
        <v>67</v>
      </c>
      <c r="G94" s="11" t="s">
        <v>22</v>
      </c>
      <c r="H94" s="7"/>
      <c r="I94" s="7"/>
      <c r="J94" s="7">
        <v>1</v>
      </c>
      <c r="K94" s="7"/>
      <c r="L94" s="7"/>
      <c r="M94" s="7"/>
      <c r="N94" s="7"/>
      <c r="O94" s="7"/>
      <c r="P94" s="7"/>
      <c r="Q94" s="7"/>
      <c r="R94" s="7"/>
      <c r="S94" s="7"/>
      <c r="T94" s="16">
        <f>IFERROR(IF(COUNT(H94:S94)&lt;1,0,IF(COUNT(H95:S95)&gt;=COUNT(H94:S94),1,(COUNT(H95:S95)/COUNT(H94:S94)))),0)</f>
        <v>0</v>
      </c>
      <c r="U94" s="17" t="s">
        <v>110</v>
      </c>
      <c r="V94" s="17"/>
      <c r="W94" s="18"/>
      <c r="X94" s="18"/>
    </row>
    <row r="95" spans="2:24" s="1" customFormat="1" ht="24" customHeight="1" x14ac:dyDescent="0.2">
      <c r="B95" s="73"/>
      <c r="C95" s="14"/>
      <c r="D95" s="14"/>
      <c r="E95" s="14"/>
      <c r="F95" s="15"/>
      <c r="G95" s="8" t="s">
        <v>23</v>
      </c>
      <c r="H95" s="7"/>
      <c r="I95" s="7"/>
      <c r="J95" s="7"/>
      <c r="K95" s="7"/>
      <c r="L95" s="7"/>
      <c r="M95" s="7"/>
      <c r="N95" s="7"/>
      <c r="O95" s="7"/>
      <c r="P95" s="7"/>
      <c r="Q95" s="7"/>
      <c r="R95" s="7"/>
      <c r="S95" s="7"/>
      <c r="T95" s="16"/>
      <c r="U95" s="17"/>
      <c r="V95" s="17"/>
      <c r="W95" s="18"/>
      <c r="X95" s="18"/>
    </row>
    <row r="96" spans="2:24" s="1" customFormat="1" ht="24" customHeight="1" x14ac:dyDescent="0.2">
      <c r="B96" s="73"/>
      <c r="C96" s="14" t="s">
        <v>141</v>
      </c>
      <c r="D96" s="14" t="s">
        <v>63</v>
      </c>
      <c r="E96" s="14" t="s">
        <v>80</v>
      </c>
      <c r="F96" s="15" t="s">
        <v>67</v>
      </c>
      <c r="G96" s="11" t="s">
        <v>22</v>
      </c>
      <c r="H96" s="7"/>
      <c r="I96" s="7"/>
      <c r="J96" s="7">
        <v>1</v>
      </c>
      <c r="K96" s="7"/>
      <c r="L96" s="7"/>
      <c r="M96" s="7"/>
      <c r="N96" s="7"/>
      <c r="O96" s="7"/>
      <c r="P96" s="7"/>
      <c r="Q96" s="7"/>
      <c r="R96" s="7"/>
      <c r="S96" s="7"/>
      <c r="T96" s="16">
        <f>IFERROR(IF(COUNT(H96:S96)&lt;1,0,IF(COUNT(H97:S97)&gt;=COUNT(H96:S96),1,(COUNT(H97:S97)/COUNT(H96:S96)))),0)</f>
        <v>0</v>
      </c>
      <c r="U96" s="17" t="s">
        <v>110</v>
      </c>
      <c r="V96" s="17"/>
      <c r="W96" s="18"/>
      <c r="X96" s="18"/>
    </row>
    <row r="97" spans="2:24" s="1" customFormat="1" ht="44.25" customHeight="1" x14ac:dyDescent="0.2">
      <c r="B97" s="73"/>
      <c r="C97" s="14"/>
      <c r="D97" s="14"/>
      <c r="E97" s="14"/>
      <c r="F97" s="15"/>
      <c r="G97" s="8" t="s">
        <v>23</v>
      </c>
      <c r="H97" s="7"/>
      <c r="I97" s="7"/>
      <c r="J97" s="7"/>
      <c r="K97" s="7"/>
      <c r="L97" s="7"/>
      <c r="M97" s="7"/>
      <c r="N97" s="7"/>
      <c r="O97" s="7"/>
      <c r="P97" s="7"/>
      <c r="Q97" s="7"/>
      <c r="R97" s="7"/>
      <c r="S97" s="7"/>
      <c r="T97" s="16"/>
      <c r="U97" s="17"/>
      <c r="V97" s="17"/>
      <c r="W97" s="18"/>
      <c r="X97" s="18"/>
    </row>
    <row r="98" spans="2:24" s="1" customFormat="1" ht="24" customHeight="1" x14ac:dyDescent="0.2">
      <c r="B98" s="73"/>
      <c r="C98" s="14" t="s">
        <v>142</v>
      </c>
      <c r="D98" s="14" t="s">
        <v>63</v>
      </c>
      <c r="E98" s="14" t="s">
        <v>80</v>
      </c>
      <c r="F98" s="15" t="s">
        <v>67</v>
      </c>
      <c r="G98" s="11" t="s">
        <v>22</v>
      </c>
      <c r="H98" s="7"/>
      <c r="I98" s="7"/>
      <c r="J98" s="7">
        <v>1</v>
      </c>
      <c r="K98" s="7"/>
      <c r="L98" s="7"/>
      <c r="M98" s="7"/>
      <c r="N98" s="7"/>
      <c r="O98" s="7"/>
      <c r="P98" s="7"/>
      <c r="Q98" s="7"/>
      <c r="R98" s="7"/>
      <c r="S98" s="7"/>
      <c r="T98" s="16">
        <f>IFERROR(IF(COUNT(H98:S98)&lt;1,0,IF(COUNT(H99:S99)&gt;=COUNT(H98:S98),1,(COUNT(H99:S99)/COUNT(H98:S98)))),0)</f>
        <v>0</v>
      </c>
      <c r="U98" s="17" t="s">
        <v>110</v>
      </c>
      <c r="V98" s="17"/>
      <c r="W98" s="18"/>
      <c r="X98" s="18"/>
    </row>
    <row r="99" spans="2:24" s="1" customFormat="1" ht="24" customHeight="1" x14ac:dyDescent="0.2">
      <c r="B99" s="73"/>
      <c r="C99" s="14"/>
      <c r="D99" s="14"/>
      <c r="E99" s="14"/>
      <c r="F99" s="15"/>
      <c r="G99" s="8" t="s">
        <v>23</v>
      </c>
      <c r="H99" s="7"/>
      <c r="I99" s="7"/>
      <c r="J99" s="7"/>
      <c r="K99" s="7"/>
      <c r="L99" s="7"/>
      <c r="M99" s="7"/>
      <c r="N99" s="7"/>
      <c r="O99" s="7"/>
      <c r="P99" s="7"/>
      <c r="Q99" s="7"/>
      <c r="R99" s="7"/>
      <c r="S99" s="7"/>
      <c r="T99" s="16"/>
      <c r="U99" s="17"/>
      <c r="V99" s="17"/>
      <c r="W99" s="18"/>
      <c r="X99" s="18"/>
    </row>
    <row r="100" spans="2:24" s="1" customFormat="1" ht="24" customHeight="1" x14ac:dyDescent="0.2">
      <c r="B100" s="73"/>
      <c r="C100" s="14" t="s">
        <v>143</v>
      </c>
      <c r="D100" s="14" t="s">
        <v>63</v>
      </c>
      <c r="E100" s="14" t="s">
        <v>80</v>
      </c>
      <c r="F100" s="15" t="s">
        <v>67</v>
      </c>
      <c r="G100" s="11" t="s">
        <v>22</v>
      </c>
      <c r="H100" s="7"/>
      <c r="I100" s="7"/>
      <c r="J100" s="7">
        <v>1</v>
      </c>
      <c r="K100" s="7"/>
      <c r="L100" s="7"/>
      <c r="M100" s="7"/>
      <c r="N100" s="7"/>
      <c r="O100" s="7"/>
      <c r="P100" s="7"/>
      <c r="Q100" s="7"/>
      <c r="R100" s="7"/>
      <c r="S100" s="7"/>
      <c r="T100" s="16">
        <f>IFERROR(IF(COUNT(H100:S100)&lt;1,0,IF(COUNT(H101:S101)&gt;=COUNT(H100:S100),1,(COUNT(H101:S101)/COUNT(H100:S100)))),0)</f>
        <v>0</v>
      </c>
      <c r="U100" s="17" t="s">
        <v>110</v>
      </c>
      <c r="V100" s="17"/>
      <c r="W100" s="18"/>
      <c r="X100" s="18"/>
    </row>
    <row r="101" spans="2:24" s="1" customFormat="1" ht="24" customHeight="1" x14ac:dyDescent="0.2">
      <c r="B101" s="73"/>
      <c r="C101" s="14"/>
      <c r="D101" s="14"/>
      <c r="E101" s="14"/>
      <c r="F101" s="15"/>
      <c r="G101" s="8" t="s">
        <v>23</v>
      </c>
      <c r="H101" s="7"/>
      <c r="I101" s="7"/>
      <c r="J101" s="7"/>
      <c r="K101" s="7"/>
      <c r="L101" s="7"/>
      <c r="M101" s="7"/>
      <c r="N101" s="7"/>
      <c r="O101" s="7"/>
      <c r="P101" s="7"/>
      <c r="Q101" s="7"/>
      <c r="R101" s="7"/>
      <c r="S101" s="7"/>
      <c r="T101" s="16"/>
      <c r="U101" s="17"/>
      <c r="V101" s="17"/>
      <c r="W101" s="18"/>
      <c r="X101" s="18"/>
    </row>
    <row r="102" spans="2:24" s="1" customFormat="1" ht="24" customHeight="1" x14ac:dyDescent="0.2">
      <c r="B102" s="73"/>
      <c r="C102" s="14" t="s">
        <v>144</v>
      </c>
      <c r="D102" s="14" t="s">
        <v>63</v>
      </c>
      <c r="E102" s="14" t="s">
        <v>80</v>
      </c>
      <c r="F102" s="15" t="s">
        <v>67</v>
      </c>
      <c r="G102" s="11" t="s">
        <v>22</v>
      </c>
      <c r="H102" s="7"/>
      <c r="I102" s="7"/>
      <c r="J102" s="7">
        <v>1</v>
      </c>
      <c r="K102" s="7"/>
      <c r="L102" s="7"/>
      <c r="M102" s="7"/>
      <c r="N102" s="7"/>
      <c r="O102" s="7"/>
      <c r="P102" s="7"/>
      <c r="Q102" s="7"/>
      <c r="R102" s="7"/>
      <c r="S102" s="7"/>
      <c r="T102" s="16">
        <f>IFERROR(IF(COUNT(H102:S102)&lt;1,0,IF(COUNT(H103:S103)&gt;=COUNT(H102:S102),1,(COUNT(H103:S103)/COUNT(H102:S102)))),0)</f>
        <v>0</v>
      </c>
      <c r="U102" s="17" t="s">
        <v>110</v>
      </c>
      <c r="V102" s="17"/>
      <c r="W102" s="18"/>
      <c r="X102" s="18"/>
    </row>
    <row r="103" spans="2:24" s="1" customFormat="1" ht="24" customHeight="1" x14ac:dyDescent="0.2">
      <c r="B103" s="74"/>
      <c r="C103" s="14"/>
      <c r="D103" s="14"/>
      <c r="E103" s="14"/>
      <c r="F103" s="15"/>
      <c r="G103" s="8" t="s">
        <v>23</v>
      </c>
      <c r="H103" s="7"/>
      <c r="I103" s="7"/>
      <c r="J103" s="7"/>
      <c r="K103" s="7"/>
      <c r="L103" s="7"/>
      <c r="M103" s="7"/>
      <c r="N103" s="7"/>
      <c r="O103" s="7"/>
      <c r="P103" s="7"/>
      <c r="Q103" s="7"/>
      <c r="R103" s="7"/>
      <c r="S103" s="7"/>
      <c r="T103" s="16"/>
      <c r="U103" s="17"/>
      <c r="V103" s="17"/>
      <c r="W103" s="18"/>
      <c r="X103" s="18"/>
    </row>
    <row r="104" spans="2:24" s="1" customFormat="1" ht="24" customHeight="1" x14ac:dyDescent="0.2">
      <c r="B104" s="72" t="s">
        <v>152</v>
      </c>
      <c r="C104" s="14" t="s">
        <v>145</v>
      </c>
      <c r="D104" s="14" t="s">
        <v>63</v>
      </c>
      <c r="E104" s="14" t="s">
        <v>80</v>
      </c>
      <c r="F104" s="15" t="s">
        <v>67</v>
      </c>
      <c r="G104" s="11" t="s">
        <v>22</v>
      </c>
      <c r="H104" s="7"/>
      <c r="I104" s="7"/>
      <c r="J104" s="7">
        <v>1</v>
      </c>
      <c r="K104" s="7"/>
      <c r="L104" s="7"/>
      <c r="M104" s="7"/>
      <c r="N104" s="7"/>
      <c r="O104" s="7"/>
      <c r="P104" s="7"/>
      <c r="Q104" s="7"/>
      <c r="R104" s="7"/>
      <c r="S104" s="7"/>
      <c r="T104" s="16">
        <f>IFERROR(IF(COUNT(H104:S104)&lt;1,0,IF(COUNT(H105:S105)&gt;=COUNT(H104:S104),1,(COUNT(H105:S105)/COUNT(H104:S104)))),0)</f>
        <v>0</v>
      </c>
      <c r="U104" s="17" t="s">
        <v>110</v>
      </c>
      <c r="V104" s="17"/>
      <c r="W104" s="18"/>
      <c r="X104" s="18"/>
    </row>
    <row r="105" spans="2:24" s="1" customFormat="1" ht="24" customHeight="1" x14ac:dyDescent="0.2">
      <c r="B105" s="73"/>
      <c r="C105" s="14"/>
      <c r="D105" s="14"/>
      <c r="E105" s="14"/>
      <c r="F105" s="15"/>
      <c r="G105" s="8" t="s">
        <v>23</v>
      </c>
      <c r="H105" s="7"/>
      <c r="I105" s="7"/>
      <c r="J105" s="7"/>
      <c r="K105" s="7"/>
      <c r="L105" s="7"/>
      <c r="M105" s="7"/>
      <c r="N105" s="7"/>
      <c r="O105" s="7"/>
      <c r="P105" s="7"/>
      <c r="Q105" s="7"/>
      <c r="R105" s="7"/>
      <c r="S105" s="7"/>
      <c r="T105" s="16"/>
      <c r="U105" s="17"/>
      <c r="V105" s="17"/>
      <c r="W105" s="18"/>
      <c r="X105" s="18"/>
    </row>
    <row r="106" spans="2:24" s="1" customFormat="1" ht="24" customHeight="1" x14ac:dyDescent="0.2">
      <c r="B106" s="73"/>
      <c r="C106" s="14" t="s">
        <v>146</v>
      </c>
      <c r="D106" s="14" t="s">
        <v>63</v>
      </c>
      <c r="E106" s="14" t="s">
        <v>80</v>
      </c>
      <c r="F106" s="15" t="s">
        <v>67</v>
      </c>
      <c r="G106" s="11" t="s">
        <v>22</v>
      </c>
      <c r="H106" s="7"/>
      <c r="I106" s="7"/>
      <c r="J106" s="7">
        <v>1</v>
      </c>
      <c r="K106" s="7"/>
      <c r="L106" s="7"/>
      <c r="M106" s="7"/>
      <c r="N106" s="7"/>
      <c r="O106" s="7"/>
      <c r="P106" s="7"/>
      <c r="Q106" s="7"/>
      <c r="R106" s="7"/>
      <c r="S106" s="7"/>
      <c r="T106" s="16">
        <f>IFERROR(IF(COUNT(H106:S106)&lt;1,0,IF(COUNT(H107:S107)&gt;=COUNT(H106:S106),1,(COUNT(H107:S107)/COUNT(H106:S106)))),0)</f>
        <v>0</v>
      </c>
      <c r="U106" s="17" t="s">
        <v>110</v>
      </c>
      <c r="V106" s="17"/>
      <c r="W106" s="18"/>
      <c r="X106" s="18"/>
    </row>
    <row r="107" spans="2:24" s="1" customFormat="1" ht="24" customHeight="1" x14ac:dyDescent="0.2">
      <c r="B107" s="73"/>
      <c r="C107" s="14"/>
      <c r="D107" s="14"/>
      <c r="E107" s="14"/>
      <c r="F107" s="15"/>
      <c r="G107" s="8" t="s">
        <v>23</v>
      </c>
      <c r="H107" s="7"/>
      <c r="I107" s="7"/>
      <c r="J107" s="7"/>
      <c r="K107" s="7"/>
      <c r="L107" s="7"/>
      <c r="M107" s="7"/>
      <c r="N107" s="7"/>
      <c r="O107" s="7"/>
      <c r="P107" s="7"/>
      <c r="Q107" s="7"/>
      <c r="R107" s="7"/>
      <c r="S107" s="7"/>
      <c r="T107" s="16"/>
      <c r="U107" s="17"/>
      <c r="V107" s="17"/>
      <c r="W107" s="18"/>
      <c r="X107" s="18"/>
    </row>
    <row r="108" spans="2:24" s="1" customFormat="1" ht="24" customHeight="1" x14ac:dyDescent="0.2">
      <c r="B108" s="73"/>
      <c r="C108" s="14" t="s">
        <v>147</v>
      </c>
      <c r="D108" s="14" t="s">
        <v>63</v>
      </c>
      <c r="E108" s="14" t="s">
        <v>80</v>
      </c>
      <c r="F108" s="15" t="s">
        <v>67</v>
      </c>
      <c r="G108" s="11" t="s">
        <v>22</v>
      </c>
      <c r="H108" s="7"/>
      <c r="I108" s="7"/>
      <c r="J108" s="7">
        <v>1</v>
      </c>
      <c r="K108" s="7"/>
      <c r="L108" s="7"/>
      <c r="M108" s="7"/>
      <c r="N108" s="7"/>
      <c r="O108" s="7"/>
      <c r="P108" s="7"/>
      <c r="Q108" s="7"/>
      <c r="R108" s="7"/>
      <c r="S108" s="7"/>
      <c r="T108" s="16">
        <f>IFERROR(IF(COUNT(H108:S108)&lt;1,0,IF(COUNT(H109:S109)&gt;=COUNT(H108:S108),1,(COUNT(H109:S109)/COUNT(H108:S108)))),0)</f>
        <v>0</v>
      </c>
      <c r="U108" s="17" t="s">
        <v>110</v>
      </c>
      <c r="V108" s="17"/>
      <c r="W108" s="18"/>
      <c r="X108" s="18"/>
    </row>
    <row r="109" spans="2:24" s="1" customFormat="1" ht="24" customHeight="1" x14ac:dyDescent="0.2">
      <c r="B109" s="73"/>
      <c r="C109" s="14"/>
      <c r="D109" s="14"/>
      <c r="E109" s="14"/>
      <c r="F109" s="15"/>
      <c r="G109" s="8" t="s">
        <v>23</v>
      </c>
      <c r="H109" s="7"/>
      <c r="I109" s="7"/>
      <c r="J109" s="7"/>
      <c r="K109" s="7"/>
      <c r="L109" s="7"/>
      <c r="M109" s="7"/>
      <c r="N109" s="7"/>
      <c r="O109" s="7"/>
      <c r="P109" s="7"/>
      <c r="Q109" s="7"/>
      <c r="R109" s="7"/>
      <c r="S109" s="7"/>
      <c r="T109" s="16"/>
      <c r="U109" s="17"/>
      <c r="V109" s="17"/>
      <c r="W109" s="18"/>
      <c r="X109" s="18"/>
    </row>
    <row r="110" spans="2:24" s="1" customFormat="1" ht="24" customHeight="1" x14ac:dyDescent="0.2">
      <c r="B110" s="73"/>
      <c r="C110" s="14" t="s">
        <v>148</v>
      </c>
      <c r="D110" s="14" t="s">
        <v>63</v>
      </c>
      <c r="E110" s="14" t="s">
        <v>80</v>
      </c>
      <c r="F110" s="15" t="s">
        <v>67</v>
      </c>
      <c r="G110" s="11" t="s">
        <v>22</v>
      </c>
      <c r="H110" s="7"/>
      <c r="I110" s="7"/>
      <c r="J110" s="7">
        <v>1</v>
      </c>
      <c r="K110" s="7"/>
      <c r="L110" s="7"/>
      <c r="M110" s="7"/>
      <c r="N110" s="7"/>
      <c r="O110" s="7"/>
      <c r="P110" s="7"/>
      <c r="Q110" s="7"/>
      <c r="R110" s="7"/>
      <c r="S110" s="7"/>
      <c r="T110" s="16">
        <f>IFERROR(IF(COUNT(H110:S110)&lt;1,0,IF(COUNT(H111:S111)&gt;=COUNT(H110:S110),1,(COUNT(H111:S111)/COUNT(H110:S110)))),0)</f>
        <v>0</v>
      </c>
      <c r="U110" s="17" t="s">
        <v>110</v>
      </c>
      <c r="V110" s="17"/>
      <c r="W110" s="18"/>
      <c r="X110" s="18"/>
    </row>
    <row r="111" spans="2:24" s="1" customFormat="1" ht="24" customHeight="1" x14ac:dyDescent="0.2">
      <c r="B111" s="73"/>
      <c r="C111" s="14"/>
      <c r="D111" s="14"/>
      <c r="E111" s="14"/>
      <c r="F111" s="15"/>
      <c r="G111" s="8" t="s">
        <v>23</v>
      </c>
      <c r="H111" s="7"/>
      <c r="I111" s="7"/>
      <c r="J111" s="7"/>
      <c r="K111" s="7"/>
      <c r="L111" s="7"/>
      <c r="M111" s="7"/>
      <c r="N111" s="7"/>
      <c r="O111" s="7"/>
      <c r="P111" s="7"/>
      <c r="Q111" s="7"/>
      <c r="R111" s="7"/>
      <c r="S111" s="7"/>
      <c r="T111" s="16"/>
      <c r="U111" s="17"/>
      <c r="V111" s="17"/>
      <c r="W111" s="18"/>
      <c r="X111" s="18"/>
    </row>
    <row r="112" spans="2:24" s="1" customFormat="1" ht="24" customHeight="1" x14ac:dyDescent="0.2">
      <c r="B112" s="73"/>
      <c r="C112" s="14" t="s">
        <v>149</v>
      </c>
      <c r="D112" s="14" t="s">
        <v>63</v>
      </c>
      <c r="E112" s="14" t="s">
        <v>80</v>
      </c>
      <c r="F112" s="15" t="s">
        <v>67</v>
      </c>
      <c r="G112" s="11" t="s">
        <v>22</v>
      </c>
      <c r="H112" s="7"/>
      <c r="I112" s="7"/>
      <c r="J112" s="7">
        <v>1</v>
      </c>
      <c r="K112" s="7"/>
      <c r="L112" s="7"/>
      <c r="M112" s="7"/>
      <c r="N112" s="7"/>
      <c r="O112" s="7"/>
      <c r="P112" s="7"/>
      <c r="Q112" s="7"/>
      <c r="R112" s="7"/>
      <c r="S112" s="7"/>
      <c r="T112" s="16">
        <f>IFERROR(IF(COUNT(H112:S112)&lt;1,0,IF(COUNT(H113:S113)&gt;=COUNT(H112:S112),1,(COUNT(H113:S113)/COUNT(H112:S112)))),0)</f>
        <v>0</v>
      </c>
      <c r="U112" s="17" t="s">
        <v>110</v>
      </c>
      <c r="V112" s="17"/>
      <c r="W112" s="18"/>
      <c r="X112" s="18"/>
    </row>
    <row r="113" spans="2:24" s="1" customFormat="1" ht="24" customHeight="1" x14ac:dyDescent="0.2">
      <c r="B113" s="73"/>
      <c r="C113" s="14"/>
      <c r="D113" s="14"/>
      <c r="E113" s="14"/>
      <c r="F113" s="15"/>
      <c r="G113" s="8" t="s">
        <v>23</v>
      </c>
      <c r="H113" s="7"/>
      <c r="I113" s="7"/>
      <c r="J113" s="7"/>
      <c r="K113" s="7"/>
      <c r="L113" s="7"/>
      <c r="M113" s="7"/>
      <c r="N113" s="7"/>
      <c r="O113" s="7"/>
      <c r="P113" s="7"/>
      <c r="Q113" s="7"/>
      <c r="R113" s="7"/>
      <c r="S113" s="7"/>
      <c r="T113" s="16"/>
      <c r="U113" s="17"/>
      <c r="V113" s="17"/>
      <c r="W113" s="18"/>
      <c r="X113" s="18"/>
    </row>
    <row r="114" spans="2:24" s="1" customFormat="1" ht="24" customHeight="1" x14ac:dyDescent="0.2">
      <c r="B114" s="73"/>
      <c r="C114" s="14" t="s">
        <v>150</v>
      </c>
      <c r="D114" s="14" t="s">
        <v>63</v>
      </c>
      <c r="E114" s="14" t="s">
        <v>80</v>
      </c>
      <c r="F114" s="15" t="s">
        <v>67</v>
      </c>
      <c r="G114" s="11" t="s">
        <v>22</v>
      </c>
      <c r="H114" s="7"/>
      <c r="I114" s="7"/>
      <c r="J114" s="7">
        <v>1</v>
      </c>
      <c r="K114" s="7"/>
      <c r="L114" s="7"/>
      <c r="M114" s="7"/>
      <c r="N114" s="7"/>
      <c r="O114" s="7"/>
      <c r="P114" s="7"/>
      <c r="Q114" s="7"/>
      <c r="R114" s="7"/>
      <c r="S114" s="7"/>
      <c r="T114" s="16">
        <f>IFERROR(IF(COUNT(H114:S114)&lt;1,0,IF(COUNT(H115:S115)&gt;=COUNT(H114:S114),1,(COUNT(H115:S115)/COUNT(H114:S114)))),0)</f>
        <v>0</v>
      </c>
      <c r="U114" s="17" t="s">
        <v>110</v>
      </c>
      <c r="V114" s="17"/>
      <c r="W114" s="18"/>
      <c r="X114" s="18"/>
    </row>
    <row r="115" spans="2:24" s="1" customFormat="1" ht="24" customHeight="1" x14ac:dyDescent="0.2">
      <c r="B115" s="74"/>
      <c r="C115" s="14"/>
      <c r="D115" s="14"/>
      <c r="E115" s="14"/>
      <c r="F115" s="15"/>
      <c r="G115" s="8" t="s">
        <v>23</v>
      </c>
      <c r="H115" s="7"/>
      <c r="I115" s="7"/>
      <c r="J115" s="7"/>
      <c r="K115" s="7"/>
      <c r="L115" s="7"/>
      <c r="M115" s="7"/>
      <c r="N115" s="7"/>
      <c r="O115" s="7"/>
      <c r="P115" s="7"/>
      <c r="Q115" s="7"/>
      <c r="R115" s="7"/>
      <c r="S115" s="7"/>
      <c r="T115" s="16"/>
      <c r="U115" s="17"/>
      <c r="V115" s="17"/>
      <c r="W115" s="18"/>
      <c r="X115" s="18"/>
    </row>
    <row r="116" spans="2:24" s="1" customFormat="1" ht="24" customHeight="1" x14ac:dyDescent="0.2">
      <c r="B116" s="72" t="s">
        <v>97</v>
      </c>
      <c r="C116" s="14" t="s">
        <v>153</v>
      </c>
      <c r="D116" s="14" t="s">
        <v>63</v>
      </c>
      <c r="E116" s="14" t="s">
        <v>80</v>
      </c>
      <c r="F116" s="15" t="s">
        <v>67</v>
      </c>
      <c r="G116" s="11" t="s">
        <v>22</v>
      </c>
      <c r="H116" s="7"/>
      <c r="I116" s="7"/>
      <c r="J116" s="7">
        <v>1</v>
      </c>
      <c r="K116" s="7"/>
      <c r="L116" s="7"/>
      <c r="M116" s="7"/>
      <c r="N116" s="7"/>
      <c r="O116" s="7"/>
      <c r="P116" s="7"/>
      <c r="Q116" s="7"/>
      <c r="R116" s="7"/>
      <c r="S116" s="7"/>
      <c r="T116" s="16">
        <f>IFERROR(IF(COUNT(H116:S116)&lt;1,0,IF(COUNT(H117:S117)&gt;=COUNT(H116:S116),1,(COUNT(H117:S117)/COUNT(H116:S116)))),0)</f>
        <v>0</v>
      </c>
      <c r="U116" s="17" t="s">
        <v>110</v>
      </c>
      <c r="V116" s="17"/>
      <c r="W116" s="18"/>
      <c r="X116" s="18"/>
    </row>
    <row r="117" spans="2:24" s="1" customFormat="1" ht="24" customHeight="1" x14ac:dyDescent="0.2">
      <c r="B117" s="73"/>
      <c r="C117" s="14"/>
      <c r="D117" s="14"/>
      <c r="E117" s="14"/>
      <c r="F117" s="15"/>
      <c r="G117" s="8" t="s">
        <v>23</v>
      </c>
      <c r="H117" s="7"/>
      <c r="I117" s="7"/>
      <c r="J117" s="7"/>
      <c r="K117" s="7"/>
      <c r="L117" s="7"/>
      <c r="M117" s="7"/>
      <c r="N117" s="7"/>
      <c r="O117" s="7"/>
      <c r="P117" s="7"/>
      <c r="Q117" s="7"/>
      <c r="R117" s="7"/>
      <c r="S117" s="7"/>
      <c r="T117" s="16"/>
      <c r="U117" s="17"/>
      <c r="V117" s="17"/>
      <c r="W117" s="18"/>
      <c r="X117" s="18"/>
    </row>
    <row r="118" spans="2:24" s="1" customFormat="1" ht="24" customHeight="1" x14ac:dyDescent="0.2">
      <c r="B118" s="73"/>
      <c r="C118" s="14" t="s">
        <v>154</v>
      </c>
      <c r="D118" s="14" t="s">
        <v>63</v>
      </c>
      <c r="E118" s="14" t="s">
        <v>80</v>
      </c>
      <c r="F118" s="15" t="s">
        <v>67</v>
      </c>
      <c r="G118" s="11" t="s">
        <v>22</v>
      </c>
      <c r="H118" s="7"/>
      <c r="I118" s="7"/>
      <c r="J118" s="7">
        <v>1</v>
      </c>
      <c r="K118" s="7"/>
      <c r="L118" s="7"/>
      <c r="M118" s="7"/>
      <c r="N118" s="7"/>
      <c r="O118" s="7"/>
      <c r="P118" s="7"/>
      <c r="Q118" s="7"/>
      <c r="R118" s="7"/>
      <c r="S118" s="7"/>
      <c r="T118" s="16">
        <f>IFERROR(IF(COUNT(H118:S118)&lt;1,0,IF(COUNT(H119:S119)&gt;=COUNT(H118:S118),1,(COUNT(H119:S119)/COUNT(H118:S118)))),0)</f>
        <v>0</v>
      </c>
      <c r="U118" s="17" t="s">
        <v>110</v>
      </c>
      <c r="V118" s="17"/>
      <c r="W118" s="18"/>
      <c r="X118" s="18"/>
    </row>
    <row r="119" spans="2:24" s="1" customFormat="1" ht="24" customHeight="1" x14ac:dyDescent="0.2">
      <c r="B119" s="73"/>
      <c r="C119" s="14"/>
      <c r="D119" s="14"/>
      <c r="E119" s="14"/>
      <c r="F119" s="15"/>
      <c r="G119" s="8" t="s">
        <v>23</v>
      </c>
      <c r="H119" s="7"/>
      <c r="I119" s="7"/>
      <c r="J119" s="7"/>
      <c r="K119" s="7"/>
      <c r="L119" s="7"/>
      <c r="M119" s="7"/>
      <c r="N119" s="7"/>
      <c r="O119" s="7"/>
      <c r="P119" s="7"/>
      <c r="Q119" s="7"/>
      <c r="R119" s="7"/>
      <c r="S119" s="7"/>
      <c r="T119" s="16"/>
      <c r="U119" s="17"/>
      <c r="V119" s="17"/>
      <c r="W119" s="18"/>
      <c r="X119" s="18"/>
    </row>
    <row r="120" spans="2:24" s="1" customFormat="1" ht="24" customHeight="1" x14ac:dyDescent="0.2">
      <c r="B120" s="73"/>
      <c r="C120" s="14" t="s">
        <v>155</v>
      </c>
      <c r="D120" s="14" t="s">
        <v>63</v>
      </c>
      <c r="E120" s="14" t="s">
        <v>80</v>
      </c>
      <c r="F120" s="15" t="s">
        <v>67</v>
      </c>
      <c r="G120" s="11" t="s">
        <v>22</v>
      </c>
      <c r="H120" s="7"/>
      <c r="I120" s="7"/>
      <c r="J120" s="7">
        <v>1</v>
      </c>
      <c r="K120" s="7"/>
      <c r="L120" s="7"/>
      <c r="M120" s="7"/>
      <c r="N120" s="7"/>
      <c r="O120" s="7"/>
      <c r="P120" s="7"/>
      <c r="Q120" s="7"/>
      <c r="R120" s="7"/>
      <c r="S120" s="7"/>
      <c r="T120" s="16">
        <f>IFERROR(IF(COUNT(H120:S120)&lt;1,0,IF(COUNT(H121:S121)&gt;=COUNT(H120:S120),1,(COUNT(H121:S121)/COUNT(H120:S120)))),0)</f>
        <v>0</v>
      </c>
      <c r="U120" s="17" t="s">
        <v>110</v>
      </c>
      <c r="V120" s="17"/>
      <c r="W120" s="18"/>
      <c r="X120" s="18"/>
    </row>
    <row r="121" spans="2:24" s="1" customFormat="1" ht="24" customHeight="1" x14ac:dyDescent="0.2">
      <c r="B121" s="73"/>
      <c r="C121" s="14"/>
      <c r="D121" s="14"/>
      <c r="E121" s="14"/>
      <c r="F121" s="15"/>
      <c r="G121" s="8" t="s">
        <v>23</v>
      </c>
      <c r="H121" s="7"/>
      <c r="I121" s="7"/>
      <c r="J121" s="7"/>
      <c r="K121" s="7"/>
      <c r="L121" s="7"/>
      <c r="M121" s="7"/>
      <c r="N121" s="7"/>
      <c r="O121" s="7"/>
      <c r="P121" s="7"/>
      <c r="Q121" s="7"/>
      <c r="R121" s="7"/>
      <c r="S121" s="7"/>
      <c r="T121" s="16"/>
      <c r="U121" s="17"/>
      <c r="V121" s="17"/>
      <c r="W121" s="18"/>
      <c r="X121" s="18"/>
    </row>
    <row r="122" spans="2:24" s="1" customFormat="1" ht="24" customHeight="1" x14ac:dyDescent="0.2">
      <c r="B122" s="73"/>
      <c r="C122" s="14" t="s">
        <v>156</v>
      </c>
      <c r="D122" s="14" t="s">
        <v>63</v>
      </c>
      <c r="E122" s="14" t="s">
        <v>80</v>
      </c>
      <c r="F122" s="15" t="s">
        <v>67</v>
      </c>
      <c r="G122" s="11" t="s">
        <v>22</v>
      </c>
      <c r="H122" s="7"/>
      <c r="I122" s="7"/>
      <c r="J122" s="7">
        <v>1</v>
      </c>
      <c r="K122" s="7"/>
      <c r="L122" s="7"/>
      <c r="M122" s="7"/>
      <c r="N122" s="7"/>
      <c r="O122" s="7"/>
      <c r="P122" s="7"/>
      <c r="Q122" s="7"/>
      <c r="R122" s="7"/>
      <c r="S122" s="7"/>
      <c r="T122" s="16">
        <f>IFERROR(IF(COUNT(H122:S122)&lt;1,0,IF(COUNT(H123:S123)&gt;=COUNT(H122:S122),1,(COUNT(H123:S123)/COUNT(H122:S122)))),0)</f>
        <v>0</v>
      </c>
      <c r="U122" s="17" t="s">
        <v>110</v>
      </c>
      <c r="V122" s="17"/>
      <c r="W122" s="18"/>
      <c r="X122" s="18"/>
    </row>
    <row r="123" spans="2:24" s="1" customFormat="1" ht="24" customHeight="1" x14ac:dyDescent="0.2">
      <c r="B123" s="74"/>
      <c r="C123" s="14"/>
      <c r="D123" s="14"/>
      <c r="E123" s="14"/>
      <c r="F123" s="15"/>
      <c r="G123" s="8" t="s">
        <v>23</v>
      </c>
      <c r="H123" s="7"/>
      <c r="I123" s="7"/>
      <c r="J123" s="7"/>
      <c r="K123" s="7"/>
      <c r="L123" s="7"/>
      <c r="M123" s="7"/>
      <c r="N123" s="7"/>
      <c r="O123" s="7"/>
      <c r="P123" s="7"/>
      <c r="Q123" s="7"/>
      <c r="R123" s="7"/>
      <c r="S123" s="7"/>
      <c r="T123" s="16"/>
      <c r="U123" s="17"/>
      <c r="V123" s="17"/>
      <c r="W123" s="18"/>
      <c r="X123" s="18"/>
    </row>
    <row r="124" spans="2:24" s="1" customFormat="1" ht="24" customHeight="1" x14ac:dyDescent="0.2">
      <c r="B124" s="72" t="s">
        <v>163</v>
      </c>
      <c r="C124" s="14" t="s">
        <v>157</v>
      </c>
      <c r="D124" s="14" t="s">
        <v>63</v>
      </c>
      <c r="E124" s="14" t="s">
        <v>80</v>
      </c>
      <c r="F124" s="15" t="s">
        <v>67</v>
      </c>
      <c r="G124" s="11" t="s">
        <v>22</v>
      </c>
      <c r="H124" s="7"/>
      <c r="I124" s="7"/>
      <c r="J124" s="7">
        <v>1</v>
      </c>
      <c r="K124" s="7"/>
      <c r="L124" s="7"/>
      <c r="M124" s="7"/>
      <c r="N124" s="7"/>
      <c r="O124" s="7"/>
      <c r="P124" s="7"/>
      <c r="Q124" s="7"/>
      <c r="R124" s="7"/>
      <c r="S124" s="7"/>
      <c r="T124" s="16">
        <f>IFERROR(IF(COUNT(H124:S124)&lt;1,0,IF(COUNT(H125:S125)&gt;=COUNT(H124:S124),1,(COUNT(H125:S125)/COUNT(H124:S124)))),0)</f>
        <v>0</v>
      </c>
      <c r="U124" s="17" t="s">
        <v>110</v>
      </c>
      <c r="V124" s="17"/>
      <c r="W124" s="18"/>
      <c r="X124" s="18"/>
    </row>
    <row r="125" spans="2:24" s="1" customFormat="1" ht="24" customHeight="1" x14ac:dyDescent="0.2">
      <c r="B125" s="73"/>
      <c r="C125" s="14"/>
      <c r="D125" s="14"/>
      <c r="E125" s="14"/>
      <c r="F125" s="15"/>
      <c r="G125" s="8" t="s">
        <v>23</v>
      </c>
      <c r="H125" s="7"/>
      <c r="I125" s="7"/>
      <c r="J125" s="7"/>
      <c r="K125" s="7"/>
      <c r="L125" s="7"/>
      <c r="M125" s="7"/>
      <c r="N125" s="7"/>
      <c r="O125" s="7"/>
      <c r="P125" s="7"/>
      <c r="Q125" s="7"/>
      <c r="R125" s="7"/>
      <c r="S125" s="7"/>
      <c r="T125" s="16"/>
      <c r="U125" s="17"/>
      <c r="V125" s="17"/>
      <c r="W125" s="18"/>
      <c r="X125" s="18"/>
    </row>
    <row r="126" spans="2:24" s="1" customFormat="1" ht="24" customHeight="1" x14ac:dyDescent="0.2">
      <c r="B126" s="73"/>
      <c r="C126" s="14" t="s">
        <v>158</v>
      </c>
      <c r="D126" s="14" t="s">
        <v>63</v>
      </c>
      <c r="E126" s="14" t="s">
        <v>80</v>
      </c>
      <c r="F126" s="15" t="s">
        <v>67</v>
      </c>
      <c r="G126" s="11" t="s">
        <v>22</v>
      </c>
      <c r="H126" s="7"/>
      <c r="I126" s="7"/>
      <c r="J126" s="7">
        <v>1</v>
      </c>
      <c r="K126" s="7"/>
      <c r="L126" s="7"/>
      <c r="M126" s="7"/>
      <c r="N126" s="7"/>
      <c r="O126" s="7"/>
      <c r="P126" s="7"/>
      <c r="Q126" s="7"/>
      <c r="R126" s="7"/>
      <c r="S126" s="7"/>
      <c r="T126" s="16">
        <f>IFERROR(IF(COUNT(H126:S126)&lt;1,0,IF(COUNT(H127:S127)&gt;=COUNT(H126:S126),1,(COUNT(H127:S127)/COUNT(H126:S126)))),0)</f>
        <v>0</v>
      </c>
      <c r="U126" s="17" t="s">
        <v>110</v>
      </c>
      <c r="V126" s="17"/>
      <c r="W126" s="18"/>
      <c r="X126" s="18"/>
    </row>
    <row r="127" spans="2:24" s="1" customFormat="1" ht="24" customHeight="1" x14ac:dyDescent="0.2">
      <c r="B127" s="73"/>
      <c r="C127" s="14"/>
      <c r="D127" s="14"/>
      <c r="E127" s="14"/>
      <c r="F127" s="15"/>
      <c r="G127" s="8" t="s">
        <v>23</v>
      </c>
      <c r="H127" s="7"/>
      <c r="I127" s="7"/>
      <c r="J127" s="7"/>
      <c r="K127" s="7"/>
      <c r="L127" s="7"/>
      <c r="M127" s="7"/>
      <c r="N127" s="7"/>
      <c r="O127" s="7"/>
      <c r="P127" s="7"/>
      <c r="Q127" s="7"/>
      <c r="R127" s="7"/>
      <c r="S127" s="7"/>
      <c r="T127" s="16"/>
      <c r="U127" s="17"/>
      <c r="V127" s="17"/>
      <c r="W127" s="18"/>
      <c r="X127" s="18"/>
    </row>
    <row r="128" spans="2:24" s="1" customFormat="1" ht="24" customHeight="1" x14ac:dyDescent="0.2">
      <c r="B128" s="73"/>
      <c r="C128" s="14" t="s">
        <v>159</v>
      </c>
      <c r="D128" s="14" t="s">
        <v>63</v>
      </c>
      <c r="E128" s="14" t="s">
        <v>80</v>
      </c>
      <c r="F128" s="15" t="s">
        <v>67</v>
      </c>
      <c r="G128" s="11" t="s">
        <v>22</v>
      </c>
      <c r="H128" s="7"/>
      <c r="I128" s="7"/>
      <c r="J128" s="7">
        <v>1</v>
      </c>
      <c r="K128" s="7"/>
      <c r="L128" s="7"/>
      <c r="M128" s="7"/>
      <c r="N128" s="7"/>
      <c r="O128" s="7"/>
      <c r="P128" s="7"/>
      <c r="Q128" s="7"/>
      <c r="R128" s="7"/>
      <c r="S128" s="7"/>
      <c r="T128" s="16">
        <f>IFERROR(IF(COUNT(H128:S128)&lt;1,0,IF(COUNT(H129:S129)&gt;=COUNT(H128:S128),1,(COUNT(H129:S129)/COUNT(H128:S128)))),0)</f>
        <v>0</v>
      </c>
      <c r="U128" s="17" t="s">
        <v>110</v>
      </c>
      <c r="V128" s="17"/>
      <c r="W128" s="18"/>
      <c r="X128" s="18"/>
    </row>
    <row r="129" spans="2:24" s="1" customFormat="1" ht="24" customHeight="1" x14ac:dyDescent="0.2">
      <c r="B129" s="73"/>
      <c r="C129" s="14"/>
      <c r="D129" s="14"/>
      <c r="E129" s="14"/>
      <c r="F129" s="15"/>
      <c r="G129" s="8" t="s">
        <v>23</v>
      </c>
      <c r="H129" s="7"/>
      <c r="I129" s="7"/>
      <c r="J129" s="7"/>
      <c r="K129" s="7"/>
      <c r="L129" s="7"/>
      <c r="M129" s="7"/>
      <c r="N129" s="7"/>
      <c r="O129" s="7"/>
      <c r="P129" s="7"/>
      <c r="Q129" s="7"/>
      <c r="R129" s="7"/>
      <c r="S129" s="7"/>
      <c r="T129" s="16"/>
      <c r="U129" s="17"/>
      <c r="V129" s="17"/>
      <c r="W129" s="18"/>
      <c r="X129" s="18"/>
    </row>
    <row r="130" spans="2:24" s="1" customFormat="1" ht="24" customHeight="1" x14ac:dyDescent="0.2">
      <c r="B130" s="73"/>
      <c r="C130" s="14" t="s">
        <v>160</v>
      </c>
      <c r="D130" s="14" t="s">
        <v>63</v>
      </c>
      <c r="E130" s="14" t="s">
        <v>80</v>
      </c>
      <c r="F130" s="15" t="s">
        <v>67</v>
      </c>
      <c r="G130" s="11" t="s">
        <v>22</v>
      </c>
      <c r="H130" s="7"/>
      <c r="I130" s="7"/>
      <c r="J130" s="7">
        <v>1</v>
      </c>
      <c r="K130" s="7"/>
      <c r="L130" s="7"/>
      <c r="M130" s="7"/>
      <c r="N130" s="7"/>
      <c r="O130" s="7"/>
      <c r="P130" s="7"/>
      <c r="Q130" s="7"/>
      <c r="R130" s="7"/>
      <c r="S130" s="7"/>
      <c r="T130" s="16">
        <f>IFERROR(IF(COUNT(H130:S130)&lt;1,0,IF(COUNT(H131:S131)&gt;=COUNT(H130:S130),1,(COUNT(H131:S131)/COUNT(H130:S130)))),0)</f>
        <v>0</v>
      </c>
      <c r="U130" s="17" t="s">
        <v>110</v>
      </c>
      <c r="V130" s="17"/>
      <c r="W130" s="18"/>
      <c r="X130" s="18"/>
    </row>
    <row r="131" spans="2:24" s="1" customFormat="1" ht="24" customHeight="1" x14ac:dyDescent="0.2">
      <c r="B131" s="73"/>
      <c r="C131" s="14"/>
      <c r="D131" s="14"/>
      <c r="E131" s="14"/>
      <c r="F131" s="15"/>
      <c r="G131" s="8" t="s">
        <v>23</v>
      </c>
      <c r="H131" s="7"/>
      <c r="I131" s="7"/>
      <c r="J131" s="7"/>
      <c r="K131" s="7"/>
      <c r="L131" s="7"/>
      <c r="M131" s="7"/>
      <c r="N131" s="7"/>
      <c r="O131" s="7"/>
      <c r="P131" s="7"/>
      <c r="Q131" s="7"/>
      <c r="R131" s="7"/>
      <c r="S131" s="7"/>
      <c r="T131" s="16"/>
      <c r="U131" s="17"/>
      <c r="V131" s="17"/>
      <c r="W131" s="18"/>
      <c r="X131" s="18"/>
    </row>
    <row r="132" spans="2:24" s="1" customFormat="1" ht="24" customHeight="1" x14ac:dyDescent="0.2">
      <c r="B132" s="73"/>
      <c r="C132" s="14" t="s">
        <v>161</v>
      </c>
      <c r="D132" s="14" t="s">
        <v>63</v>
      </c>
      <c r="E132" s="14" t="s">
        <v>80</v>
      </c>
      <c r="F132" s="15" t="s">
        <v>67</v>
      </c>
      <c r="G132" s="11" t="s">
        <v>22</v>
      </c>
      <c r="H132" s="7"/>
      <c r="I132" s="7"/>
      <c r="J132" s="7">
        <v>1</v>
      </c>
      <c r="K132" s="7"/>
      <c r="L132" s="7"/>
      <c r="M132" s="7"/>
      <c r="N132" s="7"/>
      <c r="O132" s="7"/>
      <c r="P132" s="7"/>
      <c r="Q132" s="7"/>
      <c r="R132" s="7"/>
      <c r="S132" s="7"/>
      <c r="T132" s="16">
        <f>IFERROR(IF(COUNT(H132:S132)&lt;1,0,IF(COUNT(H133:S133)&gt;=COUNT(H132:S132),1,(COUNT(H133:S133)/COUNT(H132:S132)))),0)</f>
        <v>0</v>
      </c>
      <c r="U132" s="17" t="s">
        <v>110</v>
      </c>
      <c r="V132" s="17"/>
      <c r="W132" s="18"/>
      <c r="X132" s="18"/>
    </row>
    <row r="133" spans="2:24" s="1" customFormat="1" ht="24" customHeight="1" x14ac:dyDescent="0.2">
      <c r="B133" s="73"/>
      <c r="C133" s="14"/>
      <c r="D133" s="14"/>
      <c r="E133" s="14"/>
      <c r="F133" s="15"/>
      <c r="G133" s="8" t="s">
        <v>23</v>
      </c>
      <c r="H133" s="7"/>
      <c r="I133" s="7"/>
      <c r="J133" s="7"/>
      <c r="K133" s="7"/>
      <c r="L133" s="7"/>
      <c r="M133" s="7"/>
      <c r="N133" s="7"/>
      <c r="O133" s="7"/>
      <c r="P133" s="7"/>
      <c r="Q133" s="7"/>
      <c r="R133" s="7"/>
      <c r="S133" s="7"/>
      <c r="T133" s="16"/>
      <c r="U133" s="17"/>
      <c r="V133" s="17"/>
      <c r="W133" s="18"/>
      <c r="X133" s="18"/>
    </row>
    <row r="134" spans="2:24" s="1" customFormat="1" ht="24" customHeight="1" x14ac:dyDescent="0.2">
      <c r="B134" s="73"/>
      <c r="C134" s="14" t="s">
        <v>162</v>
      </c>
      <c r="D134" s="14" t="s">
        <v>63</v>
      </c>
      <c r="E134" s="14" t="s">
        <v>80</v>
      </c>
      <c r="F134" s="15" t="s">
        <v>67</v>
      </c>
      <c r="G134" s="11" t="s">
        <v>22</v>
      </c>
      <c r="H134" s="7"/>
      <c r="I134" s="7"/>
      <c r="J134" s="7">
        <v>1</v>
      </c>
      <c r="K134" s="7"/>
      <c r="L134" s="7"/>
      <c r="M134" s="7"/>
      <c r="N134" s="7"/>
      <c r="O134" s="7"/>
      <c r="P134" s="7"/>
      <c r="Q134" s="7"/>
      <c r="R134" s="7"/>
      <c r="S134" s="7"/>
      <c r="T134" s="16">
        <f>IFERROR(IF(COUNT(H134:S134)&lt;1,0,IF(COUNT(H135:S135)&gt;=COUNT(H134:S134),1,(COUNT(H135:S135)/COUNT(H134:S134)))),0)</f>
        <v>0</v>
      </c>
      <c r="U134" s="17" t="s">
        <v>110</v>
      </c>
      <c r="V134" s="17"/>
      <c r="W134" s="18"/>
      <c r="X134" s="18"/>
    </row>
    <row r="135" spans="2:24" s="1" customFormat="1" ht="24" customHeight="1" x14ac:dyDescent="0.2">
      <c r="B135" s="73"/>
      <c r="C135" s="14"/>
      <c r="D135" s="14"/>
      <c r="E135" s="14"/>
      <c r="F135" s="15"/>
      <c r="G135" s="8" t="s">
        <v>23</v>
      </c>
      <c r="H135" s="7"/>
      <c r="I135" s="7"/>
      <c r="J135" s="7"/>
      <c r="K135" s="7"/>
      <c r="L135" s="7"/>
      <c r="M135" s="7"/>
      <c r="N135" s="7"/>
      <c r="O135" s="7"/>
      <c r="P135" s="7"/>
      <c r="Q135" s="7"/>
      <c r="R135" s="7"/>
      <c r="S135" s="7"/>
      <c r="T135" s="16"/>
      <c r="U135" s="17"/>
      <c r="V135" s="17"/>
      <c r="W135" s="18"/>
      <c r="X135" s="18"/>
    </row>
    <row r="136" spans="2:24" s="1" customFormat="1" ht="30" customHeight="1" x14ac:dyDescent="0.2">
      <c r="B136" s="73"/>
      <c r="C136" s="14" t="s">
        <v>176</v>
      </c>
      <c r="D136" s="14" t="s">
        <v>63</v>
      </c>
      <c r="E136" s="14" t="s">
        <v>80</v>
      </c>
      <c r="F136" s="15" t="s">
        <v>67</v>
      </c>
      <c r="G136" s="11" t="s">
        <v>22</v>
      </c>
      <c r="H136" s="7"/>
      <c r="I136" s="7"/>
      <c r="J136" s="7">
        <v>1</v>
      </c>
      <c r="K136" s="7"/>
      <c r="L136" s="7"/>
      <c r="M136" s="7"/>
      <c r="N136" s="7"/>
      <c r="O136" s="7"/>
      <c r="P136" s="7"/>
      <c r="Q136" s="7"/>
      <c r="R136" s="7"/>
      <c r="S136" s="7"/>
      <c r="T136" s="16">
        <f>IFERROR(IF(COUNT(H136:S136)&lt;1,0,IF(COUNT(H137:S137)&gt;=COUNT(H136:S136),1,(COUNT(H137:S137)/COUNT(H136:S136)))),0)</f>
        <v>0</v>
      </c>
      <c r="U136" s="17" t="s">
        <v>110</v>
      </c>
      <c r="V136" s="17"/>
      <c r="W136" s="18"/>
      <c r="X136" s="18"/>
    </row>
    <row r="137" spans="2:24" s="1" customFormat="1" ht="30" customHeight="1" x14ac:dyDescent="0.2">
      <c r="B137" s="73"/>
      <c r="C137" s="14"/>
      <c r="D137" s="14"/>
      <c r="E137" s="14"/>
      <c r="F137" s="15"/>
      <c r="G137" s="8" t="s">
        <v>23</v>
      </c>
      <c r="H137" s="7"/>
      <c r="I137" s="7"/>
      <c r="J137" s="7"/>
      <c r="K137" s="7"/>
      <c r="L137" s="7"/>
      <c r="M137" s="7"/>
      <c r="N137" s="7"/>
      <c r="O137" s="7"/>
      <c r="P137" s="7"/>
      <c r="Q137" s="7"/>
      <c r="R137" s="7"/>
      <c r="S137" s="7"/>
      <c r="T137" s="16"/>
      <c r="U137" s="17"/>
      <c r="V137" s="17"/>
      <c r="W137" s="18"/>
      <c r="X137" s="18"/>
    </row>
    <row r="138" spans="2:24" s="1" customFormat="1" ht="30" customHeight="1" x14ac:dyDescent="0.2">
      <c r="B138" s="73"/>
      <c r="C138" s="14" t="s">
        <v>177</v>
      </c>
      <c r="D138" s="14" t="s">
        <v>63</v>
      </c>
      <c r="E138" s="14" t="s">
        <v>80</v>
      </c>
      <c r="F138" s="15" t="s">
        <v>67</v>
      </c>
      <c r="G138" s="11" t="s">
        <v>22</v>
      </c>
      <c r="H138" s="7"/>
      <c r="I138" s="7"/>
      <c r="J138" s="7">
        <v>1</v>
      </c>
      <c r="K138" s="7"/>
      <c r="L138" s="7"/>
      <c r="M138" s="7"/>
      <c r="N138" s="7"/>
      <c r="O138" s="7"/>
      <c r="P138" s="7"/>
      <c r="Q138" s="7"/>
      <c r="R138" s="7"/>
      <c r="S138" s="7"/>
      <c r="T138" s="16">
        <f>IFERROR(IF(COUNT(H138:S138)&lt;1,0,IF(COUNT(H139:S139)&gt;=COUNT(H138:S138),1,(COUNT(H139:S139)/COUNT(H138:S138)))),0)</f>
        <v>0</v>
      </c>
      <c r="U138" s="17" t="s">
        <v>110</v>
      </c>
      <c r="V138" s="17"/>
      <c r="W138" s="18"/>
      <c r="X138" s="18"/>
    </row>
    <row r="139" spans="2:24" s="1" customFormat="1" ht="30" customHeight="1" x14ac:dyDescent="0.2">
      <c r="B139" s="74"/>
      <c r="C139" s="14"/>
      <c r="D139" s="14"/>
      <c r="E139" s="14"/>
      <c r="F139" s="15"/>
      <c r="G139" s="8" t="s">
        <v>23</v>
      </c>
      <c r="H139" s="7"/>
      <c r="I139" s="7"/>
      <c r="J139" s="7"/>
      <c r="K139" s="7"/>
      <c r="L139" s="7"/>
      <c r="M139" s="7"/>
      <c r="N139" s="7"/>
      <c r="O139" s="7"/>
      <c r="P139" s="7"/>
      <c r="Q139" s="7"/>
      <c r="R139" s="7"/>
      <c r="S139" s="7"/>
      <c r="T139" s="16"/>
      <c r="U139" s="17"/>
      <c r="V139" s="17"/>
      <c r="W139" s="18"/>
      <c r="X139" s="18"/>
    </row>
    <row r="140" spans="2:24" s="1" customFormat="1" ht="24" customHeight="1" x14ac:dyDescent="0.2">
      <c r="B140" s="72" t="s">
        <v>169</v>
      </c>
      <c r="C140" s="14" t="s">
        <v>165</v>
      </c>
      <c r="D140" s="14" t="s">
        <v>63</v>
      </c>
      <c r="E140" s="14" t="s">
        <v>80</v>
      </c>
      <c r="F140" s="15" t="s">
        <v>67</v>
      </c>
      <c r="G140" s="11" t="s">
        <v>22</v>
      </c>
      <c r="H140" s="7"/>
      <c r="I140" s="7"/>
      <c r="J140" s="7">
        <v>1</v>
      </c>
      <c r="K140" s="7"/>
      <c r="L140" s="7"/>
      <c r="M140" s="7"/>
      <c r="N140" s="7"/>
      <c r="O140" s="7"/>
      <c r="P140" s="7"/>
      <c r="Q140" s="7"/>
      <c r="R140" s="7"/>
      <c r="S140" s="7"/>
      <c r="T140" s="16">
        <f>IFERROR(IF(COUNT(H140:S140)&lt;1,0,IF(COUNT(H141:S141)&gt;=COUNT(H140:S140),1,(COUNT(H141:S141)/COUNT(H140:S140)))),0)</f>
        <v>0</v>
      </c>
      <c r="U140" s="17" t="s">
        <v>110</v>
      </c>
      <c r="V140" s="17"/>
      <c r="W140" s="18"/>
      <c r="X140" s="18"/>
    </row>
    <row r="141" spans="2:24" s="1" customFormat="1" ht="24" customHeight="1" x14ac:dyDescent="0.2">
      <c r="B141" s="73"/>
      <c r="C141" s="14"/>
      <c r="D141" s="14"/>
      <c r="E141" s="14"/>
      <c r="F141" s="15"/>
      <c r="G141" s="8" t="s">
        <v>23</v>
      </c>
      <c r="H141" s="7"/>
      <c r="I141" s="7"/>
      <c r="J141" s="7"/>
      <c r="K141" s="7"/>
      <c r="L141" s="7"/>
      <c r="M141" s="7"/>
      <c r="N141" s="7"/>
      <c r="O141" s="7"/>
      <c r="P141" s="7"/>
      <c r="Q141" s="7"/>
      <c r="R141" s="7"/>
      <c r="S141" s="7"/>
      <c r="T141" s="16"/>
      <c r="U141" s="17"/>
      <c r="V141" s="17"/>
      <c r="W141" s="18"/>
      <c r="X141" s="18"/>
    </row>
    <row r="142" spans="2:24" s="1" customFormat="1" ht="24" customHeight="1" x14ac:dyDescent="0.2">
      <c r="B142" s="73"/>
      <c r="C142" s="14" t="s">
        <v>164</v>
      </c>
      <c r="D142" s="14" t="s">
        <v>63</v>
      </c>
      <c r="E142" s="14" t="s">
        <v>80</v>
      </c>
      <c r="F142" s="15" t="s">
        <v>67</v>
      </c>
      <c r="G142" s="11" t="s">
        <v>22</v>
      </c>
      <c r="H142" s="7"/>
      <c r="I142" s="7"/>
      <c r="J142" s="7">
        <v>1</v>
      </c>
      <c r="K142" s="7"/>
      <c r="L142" s="7"/>
      <c r="M142" s="7"/>
      <c r="N142" s="7"/>
      <c r="O142" s="7"/>
      <c r="P142" s="7"/>
      <c r="Q142" s="7"/>
      <c r="R142" s="7"/>
      <c r="S142" s="7"/>
      <c r="T142" s="16">
        <f>IFERROR(IF(COUNT(H142:S142)&lt;1,0,IF(COUNT(H143:S143)&gt;=COUNT(H142:S142),1,(COUNT(H143:S143)/COUNT(H142:S142)))),0)</f>
        <v>0</v>
      </c>
      <c r="U142" s="17" t="s">
        <v>110</v>
      </c>
      <c r="V142" s="17"/>
      <c r="W142" s="18"/>
      <c r="X142" s="18"/>
    </row>
    <row r="143" spans="2:24" s="1" customFormat="1" ht="24" customHeight="1" x14ac:dyDescent="0.2">
      <c r="B143" s="73"/>
      <c r="C143" s="14"/>
      <c r="D143" s="14"/>
      <c r="E143" s="14"/>
      <c r="F143" s="15"/>
      <c r="G143" s="8" t="s">
        <v>23</v>
      </c>
      <c r="H143" s="7"/>
      <c r="I143" s="7"/>
      <c r="J143" s="7"/>
      <c r="K143" s="7"/>
      <c r="L143" s="7"/>
      <c r="M143" s="7"/>
      <c r="N143" s="7"/>
      <c r="O143" s="7"/>
      <c r="P143" s="7"/>
      <c r="Q143" s="7"/>
      <c r="R143" s="7"/>
      <c r="S143" s="7"/>
      <c r="T143" s="16"/>
      <c r="U143" s="17"/>
      <c r="V143" s="17"/>
      <c r="W143" s="18"/>
      <c r="X143" s="18"/>
    </row>
    <row r="144" spans="2:24" s="1" customFormat="1" ht="24" customHeight="1" x14ac:dyDescent="0.2">
      <c r="B144" s="73"/>
      <c r="C144" s="14" t="s">
        <v>166</v>
      </c>
      <c r="D144" s="14" t="s">
        <v>63</v>
      </c>
      <c r="E144" s="14" t="s">
        <v>80</v>
      </c>
      <c r="F144" s="15" t="s">
        <v>67</v>
      </c>
      <c r="G144" s="11" t="s">
        <v>22</v>
      </c>
      <c r="H144" s="7"/>
      <c r="I144" s="7"/>
      <c r="J144" s="7">
        <v>1</v>
      </c>
      <c r="K144" s="7"/>
      <c r="L144" s="7"/>
      <c r="M144" s="7"/>
      <c r="N144" s="7"/>
      <c r="O144" s="7"/>
      <c r="P144" s="7"/>
      <c r="Q144" s="7"/>
      <c r="R144" s="7"/>
      <c r="S144" s="7"/>
      <c r="T144" s="16">
        <f>IFERROR(IF(COUNT(H144:S144)&lt;1,0,IF(COUNT(H145:S145)&gt;=COUNT(H144:S144),1,(COUNT(H145:S145)/COUNT(H144:S144)))),0)</f>
        <v>0</v>
      </c>
      <c r="U144" s="17" t="s">
        <v>110</v>
      </c>
      <c r="V144" s="17"/>
      <c r="W144" s="18"/>
      <c r="X144" s="18"/>
    </row>
    <row r="145" spans="2:24" s="1" customFormat="1" ht="24" customHeight="1" x14ac:dyDescent="0.2">
      <c r="B145" s="73"/>
      <c r="C145" s="14"/>
      <c r="D145" s="14"/>
      <c r="E145" s="14"/>
      <c r="F145" s="15"/>
      <c r="G145" s="8" t="s">
        <v>23</v>
      </c>
      <c r="H145" s="7"/>
      <c r="I145" s="7"/>
      <c r="J145" s="7"/>
      <c r="K145" s="7"/>
      <c r="L145" s="7"/>
      <c r="M145" s="7"/>
      <c r="N145" s="7"/>
      <c r="O145" s="7"/>
      <c r="P145" s="7"/>
      <c r="Q145" s="7"/>
      <c r="R145" s="7"/>
      <c r="S145" s="7"/>
      <c r="T145" s="16"/>
      <c r="U145" s="17"/>
      <c r="V145" s="17"/>
      <c r="W145" s="18"/>
      <c r="X145" s="18"/>
    </row>
    <row r="146" spans="2:24" s="1" customFormat="1" ht="24" customHeight="1" x14ac:dyDescent="0.2">
      <c r="B146" s="73"/>
      <c r="C146" s="14" t="s">
        <v>167</v>
      </c>
      <c r="D146" s="14" t="s">
        <v>63</v>
      </c>
      <c r="E146" s="14" t="s">
        <v>80</v>
      </c>
      <c r="F146" s="15" t="s">
        <v>67</v>
      </c>
      <c r="G146" s="11" t="s">
        <v>22</v>
      </c>
      <c r="H146" s="7"/>
      <c r="I146" s="7"/>
      <c r="J146" s="7">
        <v>1</v>
      </c>
      <c r="K146" s="7"/>
      <c r="L146" s="7"/>
      <c r="M146" s="7"/>
      <c r="N146" s="7"/>
      <c r="O146" s="7"/>
      <c r="P146" s="7"/>
      <c r="Q146" s="7"/>
      <c r="R146" s="7"/>
      <c r="S146" s="7"/>
      <c r="T146" s="16">
        <f>IFERROR(IF(COUNT(H146:S146)&lt;1,0,IF(COUNT(H147:S147)&gt;=COUNT(H146:S146),1,(COUNT(H147:S147)/COUNT(H146:S146)))),0)</f>
        <v>0</v>
      </c>
      <c r="U146" s="17" t="s">
        <v>110</v>
      </c>
      <c r="V146" s="17"/>
      <c r="W146" s="18"/>
      <c r="X146" s="18"/>
    </row>
    <row r="147" spans="2:24" s="1" customFormat="1" ht="24" customHeight="1" x14ac:dyDescent="0.2">
      <c r="B147" s="73"/>
      <c r="C147" s="14"/>
      <c r="D147" s="14"/>
      <c r="E147" s="14"/>
      <c r="F147" s="15"/>
      <c r="G147" s="8" t="s">
        <v>23</v>
      </c>
      <c r="H147" s="7"/>
      <c r="I147" s="7"/>
      <c r="J147" s="7"/>
      <c r="K147" s="7"/>
      <c r="L147" s="7"/>
      <c r="M147" s="7"/>
      <c r="N147" s="7"/>
      <c r="O147" s="7"/>
      <c r="P147" s="7"/>
      <c r="Q147" s="7"/>
      <c r="R147" s="7"/>
      <c r="S147" s="7"/>
      <c r="T147" s="16"/>
      <c r="U147" s="17"/>
      <c r="V147" s="17"/>
      <c r="W147" s="18"/>
      <c r="X147" s="18"/>
    </row>
    <row r="148" spans="2:24" s="1" customFormat="1" ht="24" customHeight="1" x14ac:dyDescent="0.2">
      <c r="B148" s="73"/>
      <c r="C148" s="14" t="s">
        <v>168</v>
      </c>
      <c r="D148" s="14" t="s">
        <v>63</v>
      </c>
      <c r="E148" s="14" t="s">
        <v>80</v>
      </c>
      <c r="F148" s="15" t="s">
        <v>67</v>
      </c>
      <c r="G148" s="11" t="s">
        <v>22</v>
      </c>
      <c r="H148" s="7"/>
      <c r="I148" s="7"/>
      <c r="J148" s="7">
        <v>1</v>
      </c>
      <c r="K148" s="7"/>
      <c r="L148" s="7"/>
      <c r="M148" s="7"/>
      <c r="N148" s="7"/>
      <c r="O148" s="7"/>
      <c r="P148" s="7"/>
      <c r="Q148" s="7"/>
      <c r="R148" s="7"/>
      <c r="S148" s="7"/>
      <c r="T148" s="16">
        <f>IFERROR(IF(COUNT(H148:S148)&lt;1,0,IF(COUNT(H149:S149)&gt;=COUNT(H148:S148),1,(COUNT(H149:S149)/COUNT(H148:S148)))),0)</f>
        <v>0</v>
      </c>
      <c r="U148" s="17" t="s">
        <v>110</v>
      </c>
      <c r="V148" s="17"/>
      <c r="W148" s="18"/>
      <c r="X148" s="18"/>
    </row>
    <row r="149" spans="2:24" s="1" customFormat="1" ht="24" customHeight="1" x14ac:dyDescent="0.2">
      <c r="B149" s="74"/>
      <c r="C149" s="14"/>
      <c r="D149" s="14"/>
      <c r="E149" s="14"/>
      <c r="F149" s="15"/>
      <c r="G149" s="8" t="s">
        <v>23</v>
      </c>
      <c r="H149" s="7"/>
      <c r="I149" s="7"/>
      <c r="J149" s="7"/>
      <c r="K149" s="7"/>
      <c r="L149" s="7"/>
      <c r="M149" s="7"/>
      <c r="N149" s="7"/>
      <c r="O149" s="7"/>
      <c r="P149" s="7"/>
      <c r="Q149" s="7"/>
      <c r="R149" s="7"/>
      <c r="S149" s="7"/>
      <c r="T149" s="16"/>
      <c r="U149" s="17"/>
      <c r="V149" s="17"/>
      <c r="W149" s="18"/>
      <c r="X149" s="18"/>
    </row>
    <row r="150" spans="2:24" s="1" customFormat="1" ht="24" customHeight="1" x14ac:dyDescent="0.2">
      <c r="B150" s="72" t="s">
        <v>175</v>
      </c>
      <c r="C150" s="14" t="s">
        <v>151</v>
      </c>
      <c r="D150" s="14" t="s">
        <v>63</v>
      </c>
      <c r="E150" s="14" t="s">
        <v>80</v>
      </c>
      <c r="F150" s="15" t="s">
        <v>67</v>
      </c>
      <c r="G150" s="11" t="s">
        <v>22</v>
      </c>
      <c r="H150" s="7"/>
      <c r="I150" s="7"/>
      <c r="J150" s="7">
        <v>1</v>
      </c>
      <c r="K150" s="7"/>
      <c r="L150" s="7"/>
      <c r="M150" s="7"/>
      <c r="N150" s="7"/>
      <c r="O150" s="7"/>
      <c r="P150" s="7"/>
      <c r="Q150" s="7"/>
      <c r="R150" s="7"/>
      <c r="S150" s="7"/>
      <c r="T150" s="16">
        <f>IFERROR(IF(COUNT(H150:S150)&lt;1,0,IF(COUNT(H151:S151)&gt;=COUNT(H150:S150),1,(COUNT(H151:S151)/COUNT(H150:S150)))),0)</f>
        <v>0</v>
      </c>
      <c r="U150" s="17" t="s">
        <v>110</v>
      </c>
      <c r="V150" s="17"/>
      <c r="W150" s="18"/>
      <c r="X150" s="18"/>
    </row>
    <row r="151" spans="2:24" s="1" customFormat="1" ht="24" customHeight="1" x14ac:dyDescent="0.2">
      <c r="B151" s="73"/>
      <c r="C151" s="14"/>
      <c r="D151" s="14"/>
      <c r="E151" s="14"/>
      <c r="F151" s="15"/>
      <c r="G151" s="8" t="s">
        <v>23</v>
      </c>
      <c r="H151" s="7"/>
      <c r="I151" s="7"/>
      <c r="J151" s="7"/>
      <c r="K151" s="7"/>
      <c r="L151" s="7"/>
      <c r="M151" s="7"/>
      <c r="N151" s="7"/>
      <c r="O151" s="7"/>
      <c r="P151" s="7"/>
      <c r="Q151" s="7"/>
      <c r="R151" s="7"/>
      <c r="S151" s="7"/>
      <c r="T151" s="16"/>
      <c r="U151" s="17"/>
      <c r="V151" s="17"/>
      <c r="W151" s="18"/>
      <c r="X151" s="18"/>
    </row>
    <row r="152" spans="2:24" s="1" customFormat="1" ht="24" customHeight="1" x14ac:dyDescent="0.2">
      <c r="B152" s="73"/>
      <c r="C152" s="14" t="s">
        <v>170</v>
      </c>
      <c r="D152" s="14" t="s">
        <v>63</v>
      </c>
      <c r="E152" s="14" t="s">
        <v>80</v>
      </c>
      <c r="F152" s="15" t="s">
        <v>67</v>
      </c>
      <c r="G152" s="11" t="s">
        <v>22</v>
      </c>
      <c r="H152" s="7"/>
      <c r="I152" s="7"/>
      <c r="J152" s="7">
        <v>1</v>
      </c>
      <c r="K152" s="7"/>
      <c r="L152" s="7"/>
      <c r="M152" s="7"/>
      <c r="N152" s="7"/>
      <c r="O152" s="7"/>
      <c r="P152" s="7"/>
      <c r="Q152" s="7"/>
      <c r="R152" s="7"/>
      <c r="S152" s="7"/>
      <c r="T152" s="16">
        <f>IFERROR(IF(COUNT(H152:S152)&lt;1,0,IF(COUNT(#REF!)&gt;=COUNT(H152:S152),1,(COUNT(#REF!)/COUNT(H152:S152)))),0)</f>
        <v>0</v>
      </c>
      <c r="U152" s="17" t="s">
        <v>110</v>
      </c>
      <c r="V152" s="17"/>
      <c r="W152" s="18"/>
      <c r="X152" s="18"/>
    </row>
    <row r="153" spans="2:24" s="1" customFormat="1" ht="24" customHeight="1" x14ac:dyDescent="0.2">
      <c r="B153" s="73"/>
      <c r="C153" s="14"/>
      <c r="D153" s="14"/>
      <c r="E153" s="14"/>
      <c r="F153" s="15"/>
      <c r="G153" s="8" t="s">
        <v>23</v>
      </c>
      <c r="H153" s="7"/>
      <c r="I153" s="7"/>
      <c r="J153" s="7"/>
      <c r="K153" s="7"/>
      <c r="L153" s="7"/>
      <c r="M153" s="7"/>
      <c r="N153" s="7"/>
      <c r="O153" s="7"/>
      <c r="P153" s="7"/>
      <c r="Q153" s="7"/>
      <c r="R153" s="7"/>
      <c r="S153" s="7"/>
      <c r="T153" s="16"/>
      <c r="U153" s="17"/>
      <c r="V153" s="17"/>
      <c r="W153" s="18"/>
      <c r="X153" s="18"/>
    </row>
    <row r="154" spans="2:24" s="1" customFormat="1" ht="24" customHeight="1" x14ac:dyDescent="0.2">
      <c r="B154" s="73"/>
      <c r="C154" s="14" t="s">
        <v>171</v>
      </c>
      <c r="D154" s="14" t="s">
        <v>63</v>
      </c>
      <c r="E154" s="14" t="s">
        <v>80</v>
      </c>
      <c r="F154" s="15" t="s">
        <v>67</v>
      </c>
      <c r="G154" s="11" t="s">
        <v>22</v>
      </c>
      <c r="H154" s="7"/>
      <c r="I154" s="7"/>
      <c r="J154" s="7">
        <v>1</v>
      </c>
      <c r="K154" s="7"/>
      <c r="L154" s="7"/>
      <c r="M154" s="7"/>
      <c r="N154" s="7"/>
      <c r="O154" s="7"/>
      <c r="P154" s="7"/>
      <c r="Q154" s="7"/>
      <c r="R154" s="7"/>
      <c r="S154" s="7"/>
      <c r="T154" s="16">
        <f>IFERROR(IF(COUNT(H154:S154)&lt;1,0,IF(COUNT(H155:S155)&gt;=COUNT(H154:S154),1,(COUNT(H155:S155)/COUNT(H154:S154)))),0)</f>
        <v>0</v>
      </c>
      <c r="U154" s="17" t="s">
        <v>110</v>
      </c>
      <c r="V154" s="17"/>
      <c r="W154" s="18"/>
      <c r="X154" s="18"/>
    </row>
    <row r="155" spans="2:24" s="1" customFormat="1" ht="24" customHeight="1" x14ac:dyDescent="0.2">
      <c r="B155" s="73"/>
      <c r="C155" s="14"/>
      <c r="D155" s="14"/>
      <c r="E155" s="14"/>
      <c r="F155" s="15"/>
      <c r="G155" s="8" t="s">
        <v>23</v>
      </c>
      <c r="H155" s="7"/>
      <c r="I155" s="7"/>
      <c r="J155" s="7"/>
      <c r="K155" s="7"/>
      <c r="L155" s="7"/>
      <c r="M155" s="7"/>
      <c r="N155" s="7"/>
      <c r="O155" s="7"/>
      <c r="P155" s="7"/>
      <c r="Q155" s="7"/>
      <c r="R155" s="7"/>
      <c r="S155" s="7"/>
      <c r="T155" s="16"/>
      <c r="U155" s="17"/>
      <c r="V155" s="17"/>
      <c r="W155" s="18"/>
      <c r="X155" s="18"/>
    </row>
    <row r="156" spans="2:24" s="1" customFormat="1" ht="24" customHeight="1" x14ac:dyDescent="0.2">
      <c r="B156" s="73"/>
      <c r="C156" s="14" t="s">
        <v>172</v>
      </c>
      <c r="D156" s="14" t="s">
        <v>63</v>
      </c>
      <c r="E156" s="14" t="s">
        <v>80</v>
      </c>
      <c r="F156" s="15" t="s">
        <v>67</v>
      </c>
      <c r="G156" s="11" t="s">
        <v>22</v>
      </c>
      <c r="H156" s="7"/>
      <c r="I156" s="7"/>
      <c r="J156" s="7">
        <v>1</v>
      </c>
      <c r="K156" s="7"/>
      <c r="L156" s="7"/>
      <c r="M156" s="7"/>
      <c r="N156" s="7"/>
      <c r="O156" s="7"/>
      <c r="P156" s="7"/>
      <c r="Q156" s="7"/>
      <c r="R156" s="7"/>
      <c r="S156" s="7"/>
      <c r="T156" s="16">
        <f>IFERROR(IF(COUNT(H156:S156)&lt;1,0,IF(COUNT(H157:S157)&gt;=COUNT(H156:S156),1,(COUNT(H157:S157)/COUNT(H156:S156)))),0)</f>
        <v>0</v>
      </c>
      <c r="U156" s="17" t="s">
        <v>110</v>
      </c>
      <c r="V156" s="17"/>
      <c r="W156" s="18"/>
      <c r="X156" s="18"/>
    </row>
    <row r="157" spans="2:24" s="1" customFormat="1" ht="24" customHeight="1" x14ac:dyDescent="0.2">
      <c r="B157" s="73"/>
      <c r="C157" s="14"/>
      <c r="D157" s="14"/>
      <c r="E157" s="14"/>
      <c r="F157" s="15"/>
      <c r="G157" s="8" t="s">
        <v>23</v>
      </c>
      <c r="H157" s="7"/>
      <c r="I157" s="7"/>
      <c r="J157" s="7"/>
      <c r="K157" s="7"/>
      <c r="L157" s="7"/>
      <c r="M157" s="7"/>
      <c r="N157" s="7"/>
      <c r="O157" s="7"/>
      <c r="P157" s="7"/>
      <c r="Q157" s="7"/>
      <c r="R157" s="7"/>
      <c r="S157" s="7"/>
      <c r="T157" s="16"/>
      <c r="U157" s="17"/>
      <c r="V157" s="17"/>
      <c r="W157" s="18"/>
      <c r="X157" s="18"/>
    </row>
    <row r="158" spans="2:24" s="1" customFormat="1" ht="24" customHeight="1" x14ac:dyDescent="0.2">
      <c r="B158" s="73"/>
      <c r="C158" s="14" t="s">
        <v>173</v>
      </c>
      <c r="D158" s="14" t="s">
        <v>63</v>
      </c>
      <c r="E158" s="14" t="s">
        <v>80</v>
      </c>
      <c r="F158" s="15" t="s">
        <v>67</v>
      </c>
      <c r="G158" s="11" t="s">
        <v>22</v>
      </c>
      <c r="H158" s="7"/>
      <c r="I158" s="7"/>
      <c r="J158" s="7">
        <v>1</v>
      </c>
      <c r="K158" s="7"/>
      <c r="L158" s="7"/>
      <c r="M158" s="7"/>
      <c r="N158" s="7"/>
      <c r="O158" s="7"/>
      <c r="P158" s="7"/>
      <c r="Q158" s="7"/>
      <c r="R158" s="7"/>
      <c r="S158" s="7"/>
      <c r="T158" s="16">
        <f>IFERROR(IF(COUNT(H158:S158)&lt;1,0,IF(COUNT(H159:S159)&gt;=COUNT(H158:S158),1,(COUNT(H159:S159)/COUNT(H158:S158)))),0)</f>
        <v>0</v>
      </c>
      <c r="U158" s="17" t="s">
        <v>110</v>
      </c>
      <c r="V158" s="17"/>
      <c r="W158" s="18"/>
      <c r="X158" s="18"/>
    </row>
    <row r="159" spans="2:24" s="1" customFormat="1" ht="24" customHeight="1" x14ac:dyDescent="0.2">
      <c r="B159" s="73"/>
      <c r="C159" s="14"/>
      <c r="D159" s="14"/>
      <c r="E159" s="14"/>
      <c r="F159" s="15"/>
      <c r="G159" s="8" t="s">
        <v>23</v>
      </c>
      <c r="H159" s="7"/>
      <c r="I159" s="7"/>
      <c r="J159" s="7"/>
      <c r="K159" s="7"/>
      <c r="L159" s="7"/>
      <c r="M159" s="7"/>
      <c r="N159" s="7"/>
      <c r="O159" s="7"/>
      <c r="P159" s="7"/>
      <c r="Q159" s="7"/>
      <c r="R159" s="7"/>
      <c r="S159" s="7"/>
      <c r="T159" s="16"/>
      <c r="U159" s="17"/>
      <c r="V159" s="17"/>
      <c r="W159" s="18"/>
      <c r="X159" s="18"/>
    </row>
    <row r="160" spans="2:24" s="1" customFormat="1" ht="24" customHeight="1" x14ac:dyDescent="0.2">
      <c r="B160" s="73"/>
      <c r="C160" s="14" t="s">
        <v>174</v>
      </c>
      <c r="D160" s="14" t="s">
        <v>63</v>
      </c>
      <c r="E160" s="14" t="s">
        <v>80</v>
      </c>
      <c r="F160" s="15" t="s">
        <v>67</v>
      </c>
      <c r="G160" s="11" t="s">
        <v>22</v>
      </c>
      <c r="H160" s="7"/>
      <c r="I160" s="7"/>
      <c r="J160" s="7">
        <v>1</v>
      </c>
      <c r="K160" s="7"/>
      <c r="L160" s="7"/>
      <c r="M160" s="7"/>
      <c r="N160" s="7"/>
      <c r="O160" s="7"/>
      <c r="P160" s="7"/>
      <c r="Q160" s="7"/>
      <c r="R160" s="7"/>
      <c r="S160" s="7"/>
      <c r="T160" s="16">
        <f>IFERROR(IF(COUNT(H160:S160)&lt;1,0,IF(COUNT(H161:S161)&gt;=COUNT(H160:S160),1,(COUNT(H161:S161)/COUNT(H160:S160)))),0)</f>
        <v>0</v>
      </c>
      <c r="U160" s="17" t="s">
        <v>110</v>
      </c>
      <c r="V160" s="17"/>
      <c r="W160" s="18"/>
      <c r="X160" s="18"/>
    </row>
    <row r="161" spans="2:24" s="1" customFormat="1" ht="24" customHeight="1" x14ac:dyDescent="0.2">
      <c r="B161" s="74"/>
      <c r="C161" s="14"/>
      <c r="D161" s="14"/>
      <c r="E161" s="14"/>
      <c r="F161" s="15"/>
      <c r="G161" s="8" t="s">
        <v>23</v>
      </c>
      <c r="H161" s="7"/>
      <c r="I161" s="7"/>
      <c r="J161" s="7"/>
      <c r="K161" s="7"/>
      <c r="L161" s="7"/>
      <c r="M161" s="7"/>
      <c r="N161" s="7"/>
      <c r="O161" s="7"/>
      <c r="P161" s="7"/>
      <c r="Q161" s="7"/>
      <c r="R161" s="7"/>
      <c r="S161" s="7"/>
      <c r="T161" s="16"/>
      <c r="U161" s="17"/>
      <c r="V161" s="17"/>
      <c r="W161" s="18"/>
      <c r="X161" s="18"/>
    </row>
    <row r="162" spans="2:24" s="1" customFormat="1" ht="24" customHeight="1" x14ac:dyDescent="0.2">
      <c r="B162" s="33" t="s">
        <v>20</v>
      </c>
      <c r="C162" s="33"/>
      <c r="D162" s="33"/>
      <c r="E162" s="33"/>
      <c r="F162" s="33"/>
      <c r="G162" s="33"/>
      <c r="H162" s="7">
        <f>SUMIF($G$14:$G$161,"P*",H14:H161)</f>
        <v>14</v>
      </c>
      <c r="I162" s="7">
        <f>SUMIF($G$14:$G$161,"P*",I14:I161)</f>
        <v>10</v>
      </c>
      <c r="J162" s="7">
        <f>SUMIF($G$14:$G$161,"P*",J14:J161)</f>
        <v>50</v>
      </c>
      <c r="K162" s="7">
        <f>SUMIF($G$14:$G$161,"P*",K14:K161)</f>
        <v>0</v>
      </c>
      <c r="L162" s="7">
        <f>SUMIF($G$14:$G$161,"P*",L14:L161)</f>
        <v>0</v>
      </c>
      <c r="M162" s="7">
        <f>SUMIF($G$14:$G$161,"P*",M14:M161)</f>
        <v>0</v>
      </c>
      <c r="N162" s="7">
        <f>SUMIF($G$14:$G$161,"P*",N14:N161)</f>
        <v>0</v>
      </c>
      <c r="O162" s="7">
        <f>SUMIF($G$14:$G$161,"P*",O14:O161)</f>
        <v>0</v>
      </c>
      <c r="P162" s="7">
        <f>SUMIF($G$14:$G$161,"P*",P14:P161)</f>
        <v>0</v>
      </c>
      <c r="Q162" s="7">
        <f>SUMIF($G$14:$G$161,"P*",Q14:Q161)</f>
        <v>0</v>
      </c>
      <c r="R162" s="7">
        <f>SUMIF($G$14:$G$161,"P*",R14:R161)</f>
        <v>0</v>
      </c>
      <c r="S162" s="7">
        <f>SUMIF($G$14:$G$161,"P*",S14:S161)</f>
        <v>0</v>
      </c>
      <c r="T162" s="34">
        <f>SUM(H162:S162)</f>
        <v>74</v>
      </c>
      <c r="U162" s="34"/>
      <c r="V162" s="17"/>
      <c r="W162" s="17"/>
      <c r="X162" s="17"/>
    </row>
    <row r="163" spans="2:24" s="1" customFormat="1" ht="24" customHeight="1" x14ac:dyDescent="0.2">
      <c r="B163" s="33" t="s">
        <v>21</v>
      </c>
      <c r="C163" s="33"/>
      <c r="D163" s="33"/>
      <c r="E163" s="33"/>
      <c r="F163" s="33"/>
      <c r="G163" s="33"/>
      <c r="H163" s="7">
        <f>SUMIF($G$14:$G$161,"E*",H14:H161)</f>
        <v>3</v>
      </c>
      <c r="I163" s="7">
        <f>SUMIF($G$14:$G$161,"E*",I14:I161)</f>
        <v>0</v>
      </c>
      <c r="J163" s="7">
        <f>SUMIF($G$14:$G$161,"E*",J14:J161)</f>
        <v>0</v>
      </c>
      <c r="K163" s="7">
        <f>SUMIF($G$14:$G$161,"E*",K14:K161)</f>
        <v>0</v>
      </c>
      <c r="L163" s="7">
        <f>SUMIF($G$14:$G$161,"E*",L14:L161)</f>
        <v>0</v>
      </c>
      <c r="M163" s="7">
        <f>SUMIF($G$14:$G$161,"E*",M14:M161)</f>
        <v>0</v>
      </c>
      <c r="N163" s="7">
        <f>SUMIF($G$14:$G$161,"E*",N14:N161)</f>
        <v>0</v>
      </c>
      <c r="O163" s="7">
        <f>SUMIF($G$14:$G$161,"E*",O14:O161)</f>
        <v>0</v>
      </c>
      <c r="P163" s="7">
        <f>SUMIF($G$14:$G$161,"E*",P14:P161)</f>
        <v>0</v>
      </c>
      <c r="Q163" s="7">
        <f>SUMIF($G$14:$G$161,"E*",Q14:Q161)</f>
        <v>0</v>
      </c>
      <c r="R163" s="7">
        <f>SUMIF($G$14:$G$161,"E*",R14:R161)</f>
        <v>0</v>
      </c>
      <c r="S163" s="7">
        <f>SUMIF($G$14:$G$161,"E*",S14:S161)</f>
        <v>0</v>
      </c>
      <c r="T163" s="34">
        <f>SUM(H163:S163)</f>
        <v>3</v>
      </c>
      <c r="U163" s="34"/>
      <c r="V163" s="17"/>
      <c r="W163" s="17"/>
      <c r="X163" s="17"/>
    </row>
    <row r="164" spans="2:24" s="1" customFormat="1" ht="20.25" customHeight="1" x14ac:dyDescent="0.2">
      <c r="B164" s="59" t="s">
        <v>24</v>
      </c>
      <c r="C164" s="59"/>
      <c r="D164" s="59"/>
      <c r="E164" s="59"/>
      <c r="F164" s="59"/>
      <c r="G164" s="59"/>
      <c r="H164" s="59"/>
      <c r="I164" s="59"/>
      <c r="J164" s="59"/>
      <c r="K164" s="59"/>
      <c r="L164" s="59"/>
      <c r="M164" s="59"/>
      <c r="N164" s="59"/>
      <c r="O164" s="59"/>
      <c r="P164" s="59"/>
      <c r="Q164" s="59"/>
      <c r="R164" s="59"/>
      <c r="S164" s="59"/>
      <c r="T164" s="59"/>
      <c r="U164" s="59"/>
      <c r="V164" s="59"/>
      <c r="W164" s="59"/>
      <c r="X164" s="59"/>
    </row>
    <row r="165" spans="2:24" ht="31.5" customHeight="1" x14ac:dyDescent="0.2">
      <c r="B165" s="33" t="s">
        <v>14</v>
      </c>
      <c r="C165" s="33"/>
      <c r="D165" s="33"/>
      <c r="E165" s="33"/>
      <c r="F165" s="33"/>
      <c r="G165" s="33"/>
      <c r="H165" s="33" t="s">
        <v>15</v>
      </c>
      <c r="I165" s="33"/>
      <c r="J165" s="33"/>
      <c r="K165" s="33"/>
      <c r="L165" s="33"/>
      <c r="M165" s="33"/>
      <c r="N165" s="33"/>
      <c r="O165" s="33"/>
      <c r="P165" s="33"/>
      <c r="Q165" s="33"/>
      <c r="R165" s="33"/>
      <c r="S165" s="33"/>
      <c r="T165" s="33"/>
      <c r="U165" s="33"/>
      <c r="V165" s="33" t="s">
        <v>0</v>
      </c>
      <c r="W165" s="33"/>
      <c r="X165" s="33"/>
    </row>
    <row r="166" spans="2:24" ht="21" customHeight="1" x14ac:dyDescent="0.2">
      <c r="B166" s="60" t="s">
        <v>35</v>
      </c>
      <c r="C166" s="60"/>
      <c r="D166" s="60"/>
      <c r="E166" s="60"/>
      <c r="F166" s="60"/>
      <c r="G166" s="60"/>
      <c r="H166" s="60" t="s">
        <v>43</v>
      </c>
      <c r="I166" s="60"/>
      <c r="J166" s="60"/>
      <c r="K166" s="60"/>
      <c r="L166" s="60"/>
      <c r="M166" s="60"/>
      <c r="N166" s="60"/>
      <c r="O166" s="60"/>
      <c r="P166" s="60"/>
      <c r="Q166" s="60"/>
      <c r="R166" s="60"/>
      <c r="S166" s="60"/>
      <c r="T166" s="60"/>
      <c r="U166" s="60"/>
      <c r="V166" s="36"/>
      <c r="W166" s="37"/>
      <c r="X166" s="38"/>
    </row>
    <row r="167" spans="2:24" ht="31.5" customHeight="1" x14ac:dyDescent="0.2">
      <c r="B167" s="61" t="s">
        <v>36</v>
      </c>
      <c r="C167" s="61"/>
      <c r="D167" s="61"/>
      <c r="E167" s="61"/>
      <c r="F167" s="61"/>
      <c r="G167" s="61"/>
      <c r="H167" s="60" t="s">
        <v>111</v>
      </c>
      <c r="I167" s="60"/>
      <c r="J167" s="60"/>
      <c r="K167" s="60"/>
      <c r="L167" s="60"/>
      <c r="M167" s="60"/>
      <c r="N167" s="60"/>
      <c r="O167" s="60"/>
      <c r="P167" s="60"/>
      <c r="Q167" s="60"/>
      <c r="R167" s="60"/>
      <c r="S167" s="60"/>
      <c r="T167" s="60"/>
      <c r="U167" s="60"/>
      <c r="V167" s="36"/>
      <c r="W167" s="37"/>
      <c r="X167" s="38"/>
    </row>
    <row r="168" spans="2:24" ht="21" customHeight="1" x14ac:dyDescent="0.2">
      <c r="B168" s="60" t="s">
        <v>37</v>
      </c>
      <c r="C168" s="60"/>
      <c r="D168" s="60"/>
      <c r="E168" s="60"/>
      <c r="F168" s="60"/>
      <c r="G168" s="60"/>
      <c r="H168" s="60" t="s">
        <v>42</v>
      </c>
      <c r="I168" s="60"/>
      <c r="J168" s="60"/>
      <c r="K168" s="60"/>
      <c r="L168" s="60"/>
      <c r="M168" s="60"/>
      <c r="N168" s="60"/>
      <c r="O168" s="60"/>
      <c r="P168" s="60"/>
      <c r="Q168" s="60"/>
      <c r="R168" s="60"/>
      <c r="S168" s="60"/>
      <c r="T168" s="60"/>
      <c r="U168" s="60"/>
      <c r="V168" s="36"/>
      <c r="W168" s="37"/>
      <c r="X168" s="38"/>
    </row>
    <row r="169" spans="2:24" ht="44.25" customHeight="1" x14ac:dyDescent="0.2">
      <c r="B169" s="60" t="s">
        <v>38</v>
      </c>
      <c r="C169" s="60"/>
      <c r="D169" s="60"/>
      <c r="E169" s="60"/>
      <c r="F169" s="60"/>
      <c r="G169" s="60"/>
      <c r="H169" s="60" t="s">
        <v>112</v>
      </c>
      <c r="I169" s="60"/>
      <c r="J169" s="60"/>
      <c r="K169" s="60"/>
      <c r="L169" s="60"/>
      <c r="M169" s="60"/>
      <c r="N169" s="60"/>
      <c r="O169" s="60"/>
      <c r="P169" s="60"/>
      <c r="Q169" s="60"/>
      <c r="R169" s="60"/>
      <c r="S169" s="60"/>
      <c r="T169" s="60"/>
      <c r="U169" s="60"/>
      <c r="V169" s="36"/>
      <c r="W169" s="37"/>
      <c r="X169" s="38"/>
    </row>
    <row r="170" spans="2:24" ht="36.6" customHeight="1" x14ac:dyDescent="0.2">
      <c r="B170" s="39" t="s">
        <v>25</v>
      </c>
      <c r="C170" s="39"/>
      <c r="D170" s="39"/>
      <c r="E170" s="39"/>
      <c r="F170" s="39"/>
      <c r="G170" s="39"/>
      <c r="H170" s="39"/>
      <c r="I170" s="39"/>
      <c r="J170" s="39"/>
      <c r="K170" s="39"/>
      <c r="L170" s="39"/>
      <c r="M170" s="39"/>
      <c r="N170" s="39"/>
      <c r="O170" s="39"/>
      <c r="P170" s="39"/>
      <c r="Q170" s="39"/>
      <c r="R170" s="39"/>
      <c r="S170" s="39"/>
      <c r="T170" s="39"/>
      <c r="U170" s="39"/>
      <c r="V170" s="39"/>
      <c r="W170" s="39"/>
      <c r="X170" s="39"/>
    </row>
    <row r="171" spans="2:24" ht="19.5" customHeight="1" x14ac:dyDescent="0.2">
      <c r="B171" s="40" t="s">
        <v>113</v>
      </c>
      <c r="C171" s="40"/>
      <c r="D171" s="40"/>
      <c r="E171" s="40"/>
      <c r="F171" s="40"/>
      <c r="G171" s="40"/>
      <c r="H171" s="40"/>
      <c r="I171" s="40"/>
      <c r="J171" s="40"/>
      <c r="K171" s="40"/>
      <c r="L171" s="40"/>
      <c r="M171" s="40"/>
      <c r="N171" s="40"/>
      <c r="O171" s="40"/>
      <c r="P171" s="40"/>
      <c r="Q171" s="40"/>
      <c r="R171" s="40"/>
      <c r="S171" s="40"/>
      <c r="T171" s="40"/>
      <c r="U171" s="40"/>
      <c r="V171" s="40" t="s">
        <v>32</v>
      </c>
      <c r="W171" s="40"/>
      <c r="X171" s="40"/>
    </row>
    <row r="172" spans="2:24" ht="43.5" customHeight="1" x14ac:dyDescent="0.2">
      <c r="B172" s="35" t="s">
        <v>182</v>
      </c>
      <c r="C172" s="35"/>
      <c r="D172" s="35"/>
      <c r="E172" s="35"/>
      <c r="F172" s="35" t="s">
        <v>26</v>
      </c>
      <c r="G172" s="35"/>
      <c r="H172" s="9" t="s">
        <v>1</v>
      </c>
      <c r="I172" s="9" t="s">
        <v>2</v>
      </c>
      <c r="J172" s="9" t="s">
        <v>3</v>
      </c>
      <c r="K172" s="9" t="s">
        <v>4</v>
      </c>
      <c r="L172" s="9" t="s">
        <v>5</v>
      </c>
      <c r="M172" s="9" t="s">
        <v>6</v>
      </c>
      <c r="N172" s="9" t="s">
        <v>7</v>
      </c>
      <c r="O172" s="9" t="s">
        <v>8</v>
      </c>
      <c r="P172" s="9" t="s">
        <v>9</v>
      </c>
      <c r="Q172" s="9" t="s">
        <v>10</v>
      </c>
      <c r="R172" s="9" t="s">
        <v>11</v>
      </c>
      <c r="S172" s="9" t="s">
        <v>12</v>
      </c>
      <c r="T172" s="35" t="s">
        <v>13</v>
      </c>
      <c r="U172" s="35"/>
      <c r="V172" s="41"/>
      <c r="W172" s="41"/>
      <c r="X172" s="41"/>
    </row>
    <row r="173" spans="2:24" ht="33" customHeight="1" x14ac:dyDescent="0.2">
      <c r="B173" s="23" t="s">
        <v>27</v>
      </c>
      <c r="C173" s="23"/>
      <c r="D173" s="23"/>
      <c r="E173" s="44" t="s">
        <v>40</v>
      </c>
      <c r="F173" s="30" t="s">
        <v>34</v>
      </c>
      <c r="G173" s="30"/>
      <c r="H173" s="12">
        <f>H162</f>
        <v>14</v>
      </c>
      <c r="I173" s="12">
        <f t="shared" ref="I173:S173" si="23">I162</f>
        <v>10</v>
      </c>
      <c r="J173" s="12">
        <f t="shared" si="23"/>
        <v>50</v>
      </c>
      <c r="K173" s="12">
        <f t="shared" si="23"/>
        <v>0</v>
      </c>
      <c r="L173" s="12">
        <f t="shared" si="23"/>
        <v>0</v>
      </c>
      <c r="M173" s="12">
        <f t="shared" si="23"/>
        <v>0</v>
      </c>
      <c r="N173" s="12">
        <f t="shared" si="23"/>
        <v>0</v>
      </c>
      <c r="O173" s="12">
        <f t="shared" si="23"/>
        <v>0</v>
      </c>
      <c r="P173" s="12">
        <f t="shared" si="23"/>
        <v>0</v>
      </c>
      <c r="Q173" s="12">
        <f t="shared" si="23"/>
        <v>0</v>
      </c>
      <c r="R173" s="12">
        <f t="shared" si="23"/>
        <v>0</v>
      </c>
      <c r="S173" s="12">
        <f t="shared" si="23"/>
        <v>0</v>
      </c>
      <c r="T173" s="31">
        <f>SUM(H173:S173)</f>
        <v>74</v>
      </c>
      <c r="U173" s="31"/>
      <c r="V173" s="41"/>
      <c r="W173" s="41"/>
      <c r="X173" s="41"/>
    </row>
    <row r="174" spans="2:24" ht="27.6" customHeight="1" x14ac:dyDescent="0.2">
      <c r="B174" s="23"/>
      <c r="C174" s="23"/>
      <c r="D174" s="23"/>
      <c r="E174" s="44"/>
      <c r="F174" s="23" t="s">
        <v>28</v>
      </c>
      <c r="G174" s="23"/>
      <c r="H174" s="13">
        <f>H163</f>
        <v>3</v>
      </c>
      <c r="I174" s="13">
        <f t="shared" ref="I174:S174" si="24">I163</f>
        <v>0</v>
      </c>
      <c r="J174" s="13">
        <f t="shared" si="24"/>
        <v>0</v>
      </c>
      <c r="K174" s="13">
        <f t="shared" si="24"/>
        <v>0</v>
      </c>
      <c r="L174" s="13">
        <f t="shared" si="24"/>
        <v>0</v>
      </c>
      <c r="M174" s="13">
        <f t="shared" si="24"/>
        <v>0</v>
      </c>
      <c r="N174" s="13">
        <f t="shared" si="24"/>
        <v>0</v>
      </c>
      <c r="O174" s="13">
        <f t="shared" si="24"/>
        <v>0</v>
      </c>
      <c r="P174" s="13">
        <f t="shared" si="24"/>
        <v>0</v>
      </c>
      <c r="Q174" s="13">
        <f t="shared" si="24"/>
        <v>0</v>
      </c>
      <c r="R174" s="13">
        <f t="shared" si="24"/>
        <v>0</v>
      </c>
      <c r="S174" s="13">
        <f t="shared" si="24"/>
        <v>0</v>
      </c>
      <c r="T174" s="32">
        <f>SUM(H174:S174)</f>
        <v>3</v>
      </c>
      <c r="U174" s="32"/>
      <c r="V174" s="41"/>
      <c r="W174" s="41"/>
      <c r="X174" s="41"/>
    </row>
    <row r="175" spans="2:24" ht="23.25" customHeight="1" x14ac:dyDescent="0.2">
      <c r="B175" s="23"/>
      <c r="C175" s="23"/>
      <c r="D175" s="23"/>
      <c r="E175" s="44"/>
      <c r="F175" s="42" t="s">
        <v>29</v>
      </c>
      <c r="G175" s="42"/>
      <c r="H175" s="10">
        <f>IFERROR(IF(H173&lt;1,"",IF((H174/H173)&gt;1,1,(H174/H173))),0)</f>
        <v>0.21428571428571427</v>
      </c>
      <c r="I175" s="10">
        <f t="shared" ref="I175:S175" si="25">IFERROR(IF(I173&lt;1,"",IF((I174/I173)&gt;1,1,(I174/I173))),0)</f>
        <v>0</v>
      </c>
      <c r="J175" s="10">
        <f t="shared" si="25"/>
        <v>0</v>
      </c>
      <c r="K175" s="10" t="str">
        <f t="shared" si="25"/>
        <v/>
      </c>
      <c r="L175" s="10" t="str">
        <f t="shared" si="25"/>
        <v/>
      </c>
      <c r="M175" s="10" t="str">
        <f t="shared" si="25"/>
        <v/>
      </c>
      <c r="N175" s="10" t="str">
        <f t="shared" si="25"/>
        <v/>
      </c>
      <c r="O175" s="10" t="str">
        <f t="shared" si="25"/>
        <v/>
      </c>
      <c r="P175" s="10" t="str">
        <f t="shared" si="25"/>
        <v/>
      </c>
      <c r="Q175" s="10" t="str">
        <f t="shared" si="25"/>
        <v/>
      </c>
      <c r="R175" s="10" t="str">
        <f t="shared" si="25"/>
        <v/>
      </c>
      <c r="S175" s="10" t="str">
        <f t="shared" si="25"/>
        <v/>
      </c>
      <c r="T175" s="28">
        <f>IFERROR(IF(T173&lt;1,"",IF((T174/T173)&gt;1,1,(T174/T173))),0)</f>
        <v>4.0540540540540543E-2</v>
      </c>
      <c r="U175" s="28"/>
      <c r="V175" s="41"/>
      <c r="W175" s="41"/>
      <c r="X175" s="41"/>
    </row>
    <row r="176" spans="2:24" ht="23.25" customHeight="1" x14ac:dyDescent="0.2">
      <c r="B176" s="23"/>
      <c r="C176" s="23"/>
      <c r="D176" s="23"/>
      <c r="E176" s="44"/>
      <c r="F176" s="42" t="s">
        <v>30</v>
      </c>
      <c r="G176" s="42"/>
      <c r="H176" s="10">
        <v>0.8</v>
      </c>
      <c r="I176" s="10">
        <v>0.8</v>
      </c>
      <c r="J176" s="10">
        <v>0.8</v>
      </c>
      <c r="K176" s="10">
        <v>0.8</v>
      </c>
      <c r="L176" s="10">
        <v>0.8</v>
      </c>
      <c r="M176" s="10">
        <v>0.8</v>
      </c>
      <c r="N176" s="10">
        <v>0.8</v>
      </c>
      <c r="O176" s="10">
        <v>0.8</v>
      </c>
      <c r="P176" s="10">
        <v>0.8</v>
      </c>
      <c r="Q176" s="10">
        <v>0.8</v>
      </c>
      <c r="R176" s="10">
        <v>0.8</v>
      </c>
      <c r="S176" s="10">
        <v>0.8</v>
      </c>
      <c r="T176" s="29">
        <v>0.8</v>
      </c>
      <c r="U176" s="29"/>
      <c r="V176" s="41"/>
      <c r="W176" s="41"/>
      <c r="X176" s="41"/>
    </row>
    <row r="177" spans="2:24" ht="16.5" customHeight="1" x14ac:dyDescent="0.2">
      <c r="B177" s="42" t="s">
        <v>31</v>
      </c>
      <c r="C177" s="42"/>
      <c r="D177" s="42"/>
      <c r="E177" s="42"/>
      <c r="F177" s="42"/>
      <c r="G177" s="42"/>
      <c r="H177" s="42"/>
      <c r="I177" s="42"/>
      <c r="J177" s="42"/>
      <c r="K177" s="42"/>
      <c r="L177" s="42"/>
      <c r="M177" s="42"/>
      <c r="N177" s="42"/>
      <c r="O177" s="42"/>
      <c r="P177" s="42"/>
      <c r="Q177" s="42"/>
      <c r="R177" s="42"/>
      <c r="S177" s="42"/>
      <c r="T177" s="42"/>
      <c r="U177" s="42"/>
      <c r="V177" s="41"/>
      <c r="W177" s="41"/>
      <c r="X177" s="41"/>
    </row>
    <row r="178" spans="2:24" ht="12" customHeight="1" x14ac:dyDescent="0.2">
      <c r="B178" s="43"/>
      <c r="C178" s="43"/>
      <c r="D178" s="43"/>
      <c r="E178" s="43"/>
      <c r="F178" s="43"/>
      <c r="G178" s="43"/>
      <c r="H178" s="43"/>
      <c r="I178" s="43"/>
      <c r="J178" s="43"/>
      <c r="K178" s="43"/>
      <c r="L178" s="43"/>
      <c r="M178" s="43"/>
      <c r="N178" s="43"/>
      <c r="O178" s="43"/>
      <c r="P178" s="43"/>
      <c r="Q178" s="43"/>
      <c r="R178" s="43"/>
      <c r="S178" s="43"/>
      <c r="T178" s="43"/>
      <c r="U178" s="43"/>
      <c r="V178" s="41"/>
      <c r="W178" s="41"/>
      <c r="X178" s="41"/>
    </row>
    <row r="179" spans="2:24" ht="12" customHeight="1" x14ac:dyDescent="0.2">
      <c r="B179" s="43"/>
      <c r="C179" s="43"/>
      <c r="D179" s="43"/>
      <c r="E179" s="43"/>
      <c r="F179" s="43"/>
      <c r="G179" s="43"/>
      <c r="H179" s="43"/>
      <c r="I179" s="43"/>
      <c r="J179" s="43"/>
      <c r="K179" s="43"/>
      <c r="L179" s="43"/>
      <c r="M179" s="43"/>
      <c r="N179" s="43"/>
      <c r="O179" s="43"/>
      <c r="P179" s="43"/>
      <c r="Q179" s="43"/>
      <c r="R179" s="43"/>
      <c r="S179" s="43"/>
      <c r="T179" s="43"/>
      <c r="U179" s="43"/>
      <c r="V179" s="41"/>
      <c r="W179" s="41"/>
      <c r="X179" s="41"/>
    </row>
    <row r="180" spans="2:24" ht="12" customHeight="1" x14ac:dyDescent="0.2">
      <c r="B180" s="43"/>
      <c r="C180" s="43"/>
      <c r="D180" s="43"/>
      <c r="E180" s="43"/>
      <c r="F180" s="43"/>
      <c r="G180" s="43"/>
      <c r="H180" s="43"/>
      <c r="I180" s="43"/>
      <c r="J180" s="43"/>
      <c r="K180" s="43"/>
      <c r="L180" s="43"/>
      <c r="M180" s="43"/>
      <c r="N180" s="43"/>
      <c r="O180" s="43"/>
      <c r="P180" s="43"/>
      <c r="Q180" s="43"/>
      <c r="R180" s="43"/>
      <c r="S180" s="43"/>
      <c r="T180" s="43"/>
      <c r="U180" s="43"/>
      <c r="V180" s="41"/>
      <c r="W180" s="41"/>
      <c r="X180" s="41"/>
    </row>
    <row r="181" spans="2:24" ht="12" customHeight="1" x14ac:dyDescent="0.2">
      <c r="B181" s="43"/>
      <c r="C181" s="43"/>
      <c r="D181" s="43"/>
      <c r="E181" s="43"/>
      <c r="F181" s="43"/>
      <c r="G181" s="43"/>
      <c r="H181" s="43"/>
      <c r="I181" s="43"/>
      <c r="J181" s="43"/>
      <c r="K181" s="43"/>
      <c r="L181" s="43"/>
      <c r="M181" s="43"/>
      <c r="N181" s="43"/>
      <c r="O181" s="43"/>
      <c r="P181" s="43"/>
      <c r="Q181" s="43"/>
      <c r="R181" s="43"/>
      <c r="S181" s="43"/>
      <c r="T181" s="43"/>
      <c r="U181" s="43"/>
      <c r="V181" s="41"/>
      <c r="W181" s="41"/>
      <c r="X181" s="41"/>
    </row>
    <row r="182" spans="2:24" ht="12" customHeight="1" x14ac:dyDescent="0.2">
      <c r="B182" s="43"/>
      <c r="C182" s="43"/>
      <c r="D182" s="43"/>
      <c r="E182" s="43"/>
      <c r="F182" s="43"/>
      <c r="G182" s="43"/>
      <c r="H182" s="43"/>
      <c r="I182" s="43"/>
      <c r="J182" s="43"/>
      <c r="K182" s="43"/>
      <c r="L182" s="43"/>
      <c r="M182" s="43"/>
      <c r="N182" s="43"/>
      <c r="O182" s="43"/>
      <c r="P182" s="43"/>
      <c r="Q182" s="43"/>
      <c r="R182" s="43"/>
      <c r="S182" s="43"/>
      <c r="T182" s="43"/>
      <c r="U182" s="43"/>
      <c r="V182" s="41"/>
      <c r="W182" s="41"/>
      <c r="X182" s="41"/>
    </row>
    <row r="183" spans="2:24" ht="12" customHeight="1" x14ac:dyDescent="0.2">
      <c r="B183" s="43"/>
      <c r="C183" s="43"/>
      <c r="D183" s="43"/>
      <c r="E183" s="43"/>
      <c r="F183" s="43"/>
      <c r="G183" s="43"/>
      <c r="H183" s="43"/>
      <c r="I183" s="43"/>
      <c r="J183" s="43"/>
      <c r="K183" s="43"/>
      <c r="L183" s="43"/>
      <c r="M183" s="43"/>
      <c r="N183" s="43"/>
      <c r="O183" s="43"/>
      <c r="P183" s="43"/>
      <c r="Q183" s="43"/>
      <c r="R183" s="43"/>
      <c r="S183" s="43"/>
      <c r="T183" s="43"/>
      <c r="U183" s="43"/>
      <c r="V183" s="41"/>
      <c r="W183" s="41"/>
      <c r="X183" s="41"/>
    </row>
    <row r="184" spans="2:24" ht="12.75" customHeight="1" x14ac:dyDescent="0.2">
      <c r="B184" s="43"/>
      <c r="C184" s="43"/>
      <c r="D184" s="43"/>
      <c r="E184" s="43"/>
      <c r="F184" s="43"/>
      <c r="G184" s="43"/>
      <c r="H184" s="43"/>
      <c r="I184" s="43"/>
      <c r="J184" s="43"/>
      <c r="K184" s="43"/>
      <c r="L184" s="43"/>
      <c r="M184" s="43"/>
      <c r="N184" s="43"/>
      <c r="O184" s="43"/>
      <c r="P184" s="43"/>
      <c r="Q184" s="43"/>
      <c r="R184" s="43"/>
      <c r="S184" s="43"/>
      <c r="T184" s="43"/>
      <c r="U184" s="43"/>
      <c r="V184" s="41"/>
      <c r="W184" s="41"/>
      <c r="X184" s="41"/>
    </row>
  </sheetData>
  <mergeCells count="629">
    <mergeCell ref="C150:C151"/>
    <mergeCell ref="D150:D151"/>
    <mergeCell ref="E150:E151"/>
    <mergeCell ref="F150:F151"/>
    <mergeCell ref="T150:T151"/>
    <mergeCell ref="U150:V151"/>
    <mergeCell ref="W150:X151"/>
    <mergeCell ref="B104:B115"/>
    <mergeCell ref="B116:B123"/>
    <mergeCell ref="B124:B139"/>
    <mergeCell ref="B140:B149"/>
    <mergeCell ref="B150:B161"/>
    <mergeCell ref="C134:C135"/>
    <mergeCell ref="D134:D135"/>
    <mergeCell ref="E134:E135"/>
    <mergeCell ref="F134:F135"/>
    <mergeCell ref="T134:T135"/>
    <mergeCell ref="U134:V135"/>
    <mergeCell ref="W134:X135"/>
    <mergeCell ref="C136:C137"/>
    <mergeCell ref="D136:D137"/>
    <mergeCell ref="E136:E137"/>
    <mergeCell ref="F136:F137"/>
    <mergeCell ref="C146:C147"/>
    <mergeCell ref="E146:E147"/>
    <mergeCell ref="F146:F147"/>
    <mergeCell ref="T146:T147"/>
    <mergeCell ref="U146:V147"/>
    <mergeCell ref="W146:X147"/>
    <mergeCell ref="C148:C149"/>
    <mergeCell ref="D148:D149"/>
    <mergeCell ref="E148:E149"/>
    <mergeCell ref="F148:F149"/>
    <mergeCell ref="T148:T149"/>
    <mergeCell ref="U148:V149"/>
    <mergeCell ref="W148:X149"/>
    <mergeCell ref="C142:C143"/>
    <mergeCell ref="D142:D143"/>
    <mergeCell ref="E142:E143"/>
    <mergeCell ref="F142:F143"/>
    <mergeCell ref="T142:T143"/>
    <mergeCell ref="U142:V143"/>
    <mergeCell ref="W142:X143"/>
    <mergeCell ref="C144:C145"/>
    <mergeCell ref="D144:D145"/>
    <mergeCell ref="E144:E145"/>
    <mergeCell ref="F144:F145"/>
    <mergeCell ref="T144:T145"/>
    <mergeCell ref="U144:V145"/>
    <mergeCell ref="W144:X145"/>
    <mergeCell ref="C138:C139"/>
    <mergeCell ref="D138:D139"/>
    <mergeCell ref="E138:E139"/>
    <mergeCell ref="F138:F139"/>
    <mergeCell ref="T138:T139"/>
    <mergeCell ref="U138:V139"/>
    <mergeCell ref="W138:X139"/>
    <mergeCell ref="C140:C141"/>
    <mergeCell ref="D140:D141"/>
    <mergeCell ref="E140:E141"/>
    <mergeCell ref="F140:F141"/>
    <mergeCell ref="T140:T141"/>
    <mergeCell ref="U140:V141"/>
    <mergeCell ref="W140:X141"/>
    <mergeCell ref="C128:C129"/>
    <mergeCell ref="D128:D129"/>
    <mergeCell ref="E128:E129"/>
    <mergeCell ref="F128:F129"/>
    <mergeCell ref="T128:T129"/>
    <mergeCell ref="U128:V129"/>
    <mergeCell ref="W128:X129"/>
    <mergeCell ref="T136:T137"/>
    <mergeCell ref="U136:V137"/>
    <mergeCell ref="W136:X137"/>
    <mergeCell ref="C130:C131"/>
    <mergeCell ref="D130:D131"/>
    <mergeCell ref="E130:E131"/>
    <mergeCell ref="F130:F131"/>
    <mergeCell ref="T130:T131"/>
    <mergeCell ref="U130:V131"/>
    <mergeCell ref="W130:X131"/>
    <mergeCell ref="C132:C133"/>
    <mergeCell ref="D132:D133"/>
    <mergeCell ref="E132:E133"/>
    <mergeCell ref="F132:F133"/>
    <mergeCell ref="T132:T133"/>
    <mergeCell ref="U132:V133"/>
    <mergeCell ref="W132:X133"/>
    <mergeCell ref="E124:E125"/>
    <mergeCell ref="F124:F125"/>
    <mergeCell ref="T124:T125"/>
    <mergeCell ref="U124:V125"/>
    <mergeCell ref="W124:X125"/>
    <mergeCell ref="C126:C127"/>
    <mergeCell ref="D126:D127"/>
    <mergeCell ref="E126:E127"/>
    <mergeCell ref="F126:F127"/>
    <mergeCell ref="T126:T127"/>
    <mergeCell ref="U126:V127"/>
    <mergeCell ref="W126:X127"/>
    <mergeCell ref="B76:B89"/>
    <mergeCell ref="B90:B103"/>
    <mergeCell ref="C118:C119"/>
    <mergeCell ref="D118:D119"/>
    <mergeCell ref="E118:E119"/>
    <mergeCell ref="F118:F119"/>
    <mergeCell ref="T118:T119"/>
    <mergeCell ref="U118:V119"/>
    <mergeCell ref="C116:C117"/>
    <mergeCell ref="D116:D117"/>
    <mergeCell ref="E116:E117"/>
    <mergeCell ref="F116:F117"/>
    <mergeCell ref="T116:T117"/>
    <mergeCell ref="U116:V117"/>
    <mergeCell ref="E112:E113"/>
    <mergeCell ref="F112:F113"/>
    <mergeCell ref="T112:T113"/>
    <mergeCell ref="U112:V113"/>
    <mergeCell ref="E104:E105"/>
    <mergeCell ref="F104:F105"/>
    <mergeCell ref="T104:T105"/>
    <mergeCell ref="U104:V105"/>
    <mergeCell ref="E96:E97"/>
    <mergeCell ref="F96:F97"/>
    <mergeCell ref="W116:X117"/>
    <mergeCell ref="C152:C153"/>
    <mergeCell ref="D152:D153"/>
    <mergeCell ref="E152:E153"/>
    <mergeCell ref="F152:F153"/>
    <mergeCell ref="T152:T153"/>
    <mergeCell ref="U152:V153"/>
    <mergeCell ref="W152:X153"/>
    <mergeCell ref="W118:X119"/>
    <mergeCell ref="C120:C121"/>
    <mergeCell ref="D120:D121"/>
    <mergeCell ref="E120:E121"/>
    <mergeCell ref="F120:F121"/>
    <mergeCell ref="T120:T121"/>
    <mergeCell ref="U120:V121"/>
    <mergeCell ref="C122:C123"/>
    <mergeCell ref="D122:D123"/>
    <mergeCell ref="E122:E123"/>
    <mergeCell ref="F122:F123"/>
    <mergeCell ref="T122:T123"/>
    <mergeCell ref="U122:V123"/>
    <mergeCell ref="W122:X123"/>
    <mergeCell ref="C124:C125"/>
    <mergeCell ref="D124:D125"/>
    <mergeCell ref="W112:X113"/>
    <mergeCell ref="C114:C115"/>
    <mergeCell ref="D114:D115"/>
    <mergeCell ref="E114:E115"/>
    <mergeCell ref="F114:F115"/>
    <mergeCell ref="T114:T115"/>
    <mergeCell ref="U114:V115"/>
    <mergeCell ref="W114:X115"/>
    <mergeCell ref="E108:E109"/>
    <mergeCell ref="F108:F109"/>
    <mergeCell ref="T108:T109"/>
    <mergeCell ref="U108:V109"/>
    <mergeCell ref="W108:X109"/>
    <mergeCell ref="C110:C111"/>
    <mergeCell ref="D110:D111"/>
    <mergeCell ref="E110:E111"/>
    <mergeCell ref="F110:F111"/>
    <mergeCell ref="T110:T111"/>
    <mergeCell ref="U110:V111"/>
    <mergeCell ref="W110:X111"/>
    <mergeCell ref="C108:C109"/>
    <mergeCell ref="C112:C113"/>
    <mergeCell ref="W104:X105"/>
    <mergeCell ref="C106:C107"/>
    <mergeCell ref="D106:D107"/>
    <mergeCell ref="E106:E107"/>
    <mergeCell ref="F106:F107"/>
    <mergeCell ref="T106:T107"/>
    <mergeCell ref="U106:V107"/>
    <mergeCell ref="W106:X107"/>
    <mergeCell ref="E100:E101"/>
    <mergeCell ref="F100:F101"/>
    <mergeCell ref="T100:T101"/>
    <mergeCell ref="U100:V101"/>
    <mergeCell ref="W100:X101"/>
    <mergeCell ref="C102:C103"/>
    <mergeCell ref="D102:D103"/>
    <mergeCell ref="E102:E103"/>
    <mergeCell ref="F102:F103"/>
    <mergeCell ref="T102:T103"/>
    <mergeCell ref="U102:V103"/>
    <mergeCell ref="W102:X103"/>
    <mergeCell ref="C100:C101"/>
    <mergeCell ref="C104:C105"/>
    <mergeCell ref="T96:T97"/>
    <mergeCell ref="U96:V97"/>
    <mergeCell ref="W96:X97"/>
    <mergeCell ref="C98:C99"/>
    <mergeCell ref="D98:D99"/>
    <mergeCell ref="E98:E99"/>
    <mergeCell ref="F98:F99"/>
    <mergeCell ref="T98:T99"/>
    <mergeCell ref="U98:V99"/>
    <mergeCell ref="W98:X99"/>
    <mergeCell ref="C96:C97"/>
    <mergeCell ref="E92:E93"/>
    <mergeCell ref="F92:F93"/>
    <mergeCell ref="T92:T93"/>
    <mergeCell ref="U92:V93"/>
    <mergeCell ref="W92:X93"/>
    <mergeCell ref="C94:C95"/>
    <mergeCell ref="D94:D95"/>
    <mergeCell ref="E94:E95"/>
    <mergeCell ref="F94:F95"/>
    <mergeCell ref="T94:T95"/>
    <mergeCell ref="U94:V95"/>
    <mergeCell ref="W94:X95"/>
    <mergeCell ref="C90:C91"/>
    <mergeCell ref="D90:D91"/>
    <mergeCell ref="E90:E91"/>
    <mergeCell ref="F90:F91"/>
    <mergeCell ref="T90:T91"/>
    <mergeCell ref="U90:V91"/>
    <mergeCell ref="W90:X91"/>
    <mergeCell ref="C86:C87"/>
    <mergeCell ref="D86:D87"/>
    <mergeCell ref="E86:E87"/>
    <mergeCell ref="F86:F87"/>
    <mergeCell ref="T86:T87"/>
    <mergeCell ref="U86:V87"/>
    <mergeCell ref="W86:X87"/>
    <mergeCell ref="C88:C89"/>
    <mergeCell ref="D88:D89"/>
    <mergeCell ref="E88:E89"/>
    <mergeCell ref="F88:F89"/>
    <mergeCell ref="T88:T89"/>
    <mergeCell ref="U88:V89"/>
    <mergeCell ref="W88:X89"/>
    <mergeCell ref="E158:E159"/>
    <mergeCell ref="F158:F159"/>
    <mergeCell ref="T158:T159"/>
    <mergeCell ref="U158:V159"/>
    <mergeCell ref="W158:X159"/>
    <mergeCell ref="C160:C161"/>
    <mergeCell ref="D160:D161"/>
    <mergeCell ref="E160:E161"/>
    <mergeCell ref="F160:F161"/>
    <mergeCell ref="T160:T161"/>
    <mergeCell ref="U160:V161"/>
    <mergeCell ref="W160:X161"/>
    <mergeCell ref="E154:E155"/>
    <mergeCell ref="F154:F155"/>
    <mergeCell ref="T154:T155"/>
    <mergeCell ref="U154:V155"/>
    <mergeCell ref="W154:X155"/>
    <mergeCell ref="C156:C157"/>
    <mergeCell ref="D156:D157"/>
    <mergeCell ref="E156:E157"/>
    <mergeCell ref="F156:F157"/>
    <mergeCell ref="T156:T157"/>
    <mergeCell ref="U156:V157"/>
    <mergeCell ref="W156:X157"/>
    <mergeCell ref="C1:W2"/>
    <mergeCell ref="B1:B2"/>
    <mergeCell ref="X1:X2"/>
    <mergeCell ref="T60:T61"/>
    <mergeCell ref="T64:T65"/>
    <mergeCell ref="F58:F59"/>
    <mergeCell ref="F60:F61"/>
    <mergeCell ref="F64:F65"/>
    <mergeCell ref="T56:T57"/>
    <mergeCell ref="U60:V61"/>
    <mergeCell ref="U64:V65"/>
    <mergeCell ref="W64:X65"/>
    <mergeCell ref="T50:T51"/>
    <mergeCell ref="T52:T53"/>
    <mergeCell ref="T54:T55"/>
    <mergeCell ref="E50:E51"/>
    <mergeCell ref="F50:F51"/>
    <mergeCell ref="F52:F53"/>
    <mergeCell ref="F54:F55"/>
    <mergeCell ref="F56:F57"/>
    <mergeCell ref="T58:T59"/>
    <mergeCell ref="B10:G10"/>
    <mergeCell ref="H10:X10"/>
    <mergeCell ref="L11:L12"/>
    <mergeCell ref="T82:T83"/>
    <mergeCell ref="T84:T85"/>
    <mergeCell ref="B164:X164"/>
    <mergeCell ref="B165:G165"/>
    <mergeCell ref="B166:G166"/>
    <mergeCell ref="B167:G167"/>
    <mergeCell ref="B168:G168"/>
    <mergeCell ref="B169:G169"/>
    <mergeCell ref="H165:U165"/>
    <mergeCell ref="H166:U166"/>
    <mergeCell ref="H167:U167"/>
    <mergeCell ref="H168:U168"/>
    <mergeCell ref="V165:X165"/>
    <mergeCell ref="V166:X166"/>
    <mergeCell ref="H169:U169"/>
    <mergeCell ref="E82:E83"/>
    <mergeCell ref="F82:F83"/>
    <mergeCell ref="E84:E85"/>
    <mergeCell ref="F84:F85"/>
    <mergeCell ref="C84:C85"/>
    <mergeCell ref="W84:X85"/>
    <mergeCell ref="C154:C155"/>
    <mergeCell ref="C158:C159"/>
    <mergeCell ref="C92:C93"/>
    <mergeCell ref="M11:M12"/>
    <mergeCell ref="N11:N12"/>
    <mergeCell ref="O11:O12"/>
    <mergeCell ref="P11:P12"/>
    <mergeCell ref="J11:J12"/>
    <mergeCell ref="K11:K12"/>
    <mergeCell ref="Q11:Q12"/>
    <mergeCell ref="R11:R12"/>
    <mergeCell ref="F11:G13"/>
    <mergeCell ref="H13:S13"/>
    <mergeCell ref="S11:S12"/>
    <mergeCell ref="E14:E15"/>
    <mergeCell ref="F14:F15"/>
    <mergeCell ref="E32:E33"/>
    <mergeCell ref="F32:F33"/>
    <mergeCell ref="E48:E49"/>
    <mergeCell ref="F48:F49"/>
    <mergeCell ref="E40:E41"/>
    <mergeCell ref="F40:F41"/>
    <mergeCell ref="F44:F45"/>
    <mergeCell ref="E42:E43"/>
    <mergeCell ref="F42:F43"/>
    <mergeCell ref="E34:E35"/>
    <mergeCell ref="F34:F35"/>
    <mergeCell ref="E16:E17"/>
    <mergeCell ref="F16:F17"/>
    <mergeCell ref="E18:E19"/>
    <mergeCell ref="F18:F19"/>
    <mergeCell ref="F30:F31"/>
    <mergeCell ref="T26:T27"/>
    <mergeCell ref="E78:E79"/>
    <mergeCell ref="F78:F79"/>
    <mergeCell ref="E80:E81"/>
    <mergeCell ref="F80:F81"/>
    <mergeCell ref="F74:F75"/>
    <mergeCell ref="F24:F25"/>
    <mergeCell ref="E70:E71"/>
    <mergeCell ref="F70:F71"/>
    <mergeCell ref="F72:F73"/>
    <mergeCell ref="T78:T79"/>
    <mergeCell ref="T80:T81"/>
    <mergeCell ref="T70:T71"/>
    <mergeCell ref="T72:T73"/>
    <mergeCell ref="T74:T75"/>
    <mergeCell ref="T76:T77"/>
    <mergeCell ref="T46:T47"/>
    <mergeCell ref="T48:T49"/>
    <mergeCell ref="T66:T67"/>
    <mergeCell ref="T68:T69"/>
    <mergeCell ref="F26:F27"/>
    <mergeCell ref="E28:E29"/>
    <mergeCell ref="F28:F29"/>
    <mergeCell ref="E30:E31"/>
    <mergeCell ref="B7:X7"/>
    <mergeCell ref="B3:X3"/>
    <mergeCell ref="T18:T19"/>
    <mergeCell ref="T20:T21"/>
    <mergeCell ref="T22:T23"/>
    <mergeCell ref="T24:T25"/>
    <mergeCell ref="B8:X8"/>
    <mergeCell ref="B9:X9"/>
    <mergeCell ref="B5:X5"/>
    <mergeCell ref="B6:X6"/>
    <mergeCell ref="E20:E21"/>
    <mergeCell ref="F20:F21"/>
    <mergeCell ref="E22:E23"/>
    <mergeCell ref="F22:F23"/>
    <mergeCell ref="H11:H12"/>
    <mergeCell ref="I11:I12"/>
    <mergeCell ref="T14:T15"/>
    <mergeCell ref="B4:X4"/>
    <mergeCell ref="E11:E13"/>
    <mergeCell ref="B11:B13"/>
    <mergeCell ref="T11:T13"/>
    <mergeCell ref="U11:V13"/>
    <mergeCell ref="U14:V15"/>
    <mergeCell ref="U16:V17"/>
    <mergeCell ref="F174:G174"/>
    <mergeCell ref="F173:G173"/>
    <mergeCell ref="T173:U173"/>
    <mergeCell ref="T174:U174"/>
    <mergeCell ref="B163:G163"/>
    <mergeCell ref="V162:X163"/>
    <mergeCell ref="T162:U162"/>
    <mergeCell ref="T163:U163"/>
    <mergeCell ref="B162:G162"/>
    <mergeCell ref="B172:E172"/>
    <mergeCell ref="F172:G172"/>
    <mergeCell ref="V169:X169"/>
    <mergeCell ref="B170:X170"/>
    <mergeCell ref="V171:X171"/>
    <mergeCell ref="V167:X167"/>
    <mergeCell ref="V172:X184"/>
    <mergeCell ref="B177:U177"/>
    <mergeCell ref="B178:U184"/>
    <mergeCell ref="V168:X168"/>
    <mergeCell ref="T172:U172"/>
    <mergeCell ref="B171:U171"/>
    <mergeCell ref="F175:G175"/>
    <mergeCell ref="F176:G176"/>
    <mergeCell ref="E173:E176"/>
    <mergeCell ref="B36:B37"/>
    <mergeCell ref="B42:B43"/>
    <mergeCell ref="T175:U175"/>
    <mergeCell ref="T176:U176"/>
    <mergeCell ref="B14:B15"/>
    <mergeCell ref="B16:B17"/>
    <mergeCell ref="B18:B19"/>
    <mergeCell ref="B20:B21"/>
    <mergeCell ref="B22:B23"/>
    <mergeCell ref="B24:B25"/>
    <mergeCell ref="B26:B27"/>
    <mergeCell ref="B28:B29"/>
    <mergeCell ref="B30:B31"/>
    <mergeCell ref="B32:B33"/>
    <mergeCell ref="B34:B35"/>
    <mergeCell ref="B44:B45"/>
    <mergeCell ref="B46:B47"/>
    <mergeCell ref="B48:B49"/>
    <mergeCell ref="B50:B51"/>
    <mergeCell ref="B52:B53"/>
    <mergeCell ref="B54:B55"/>
    <mergeCell ref="B56:B57"/>
    <mergeCell ref="U54:V55"/>
    <mergeCell ref="F66:F67"/>
    <mergeCell ref="F68:F69"/>
    <mergeCell ref="F76:F77"/>
    <mergeCell ref="D44:D45"/>
    <mergeCell ref="D46:D47"/>
    <mergeCell ref="D48:D49"/>
    <mergeCell ref="D50:D51"/>
    <mergeCell ref="D52:D53"/>
    <mergeCell ref="D54:D55"/>
    <mergeCell ref="D56:D57"/>
    <mergeCell ref="D76:D77"/>
    <mergeCell ref="B70:B71"/>
    <mergeCell ref="B60:B61"/>
    <mergeCell ref="B64:B65"/>
    <mergeCell ref="B66:B67"/>
    <mergeCell ref="B68:B69"/>
    <mergeCell ref="B72:B73"/>
    <mergeCell ref="B74:B75"/>
    <mergeCell ref="U82:V83"/>
    <mergeCell ref="U84:V85"/>
    <mergeCell ref="U70:V71"/>
    <mergeCell ref="U72:V73"/>
    <mergeCell ref="U74:V75"/>
    <mergeCell ref="U76:V77"/>
    <mergeCell ref="U78:V79"/>
    <mergeCell ref="U80:V81"/>
    <mergeCell ref="C66:C67"/>
    <mergeCell ref="C68:C69"/>
    <mergeCell ref="C70:C71"/>
    <mergeCell ref="C72:C73"/>
    <mergeCell ref="C74:C75"/>
    <mergeCell ref="D84:D85"/>
    <mergeCell ref="D70:D71"/>
    <mergeCell ref="D72:D73"/>
    <mergeCell ref="D74:D75"/>
    <mergeCell ref="U18:V19"/>
    <mergeCell ref="U20:V21"/>
    <mergeCell ref="U22:V23"/>
    <mergeCell ref="U24:V25"/>
    <mergeCell ref="U26:V27"/>
    <mergeCell ref="T16:T17"/>
    <mergeCell ref="U68:V69"/>
    <mergeCell ref="U66:V67"/>
    <mergeCell ref="T42:T43"/>
    <mergeCell ref="U42:V43"/>
    <mergeCell ref="T44:T45"/>
    <mergeCell ref="T28:T29"/>
    <mergeCell ref="T30:T31"/>
    <mergeCell ref="T32:T33"/>
    <mergeCell ref="T34:T35"/>
    <mergeCell ref="U28:V29"/>
    <mergeCell ref="U30:V31"/>
    <mergeCell ref="U32:V33"/>
    <mergeCell ref="U34:V35"/>
    <mergeCell ref="U44:V45"/>
    <mergeCell ref="U46:V47"/>
    <mergeCell ref="U48:V49"/>
    <mergeCell ref="U50:V51"/>
    <mergeCell ref="U52:V53"/>
    <mergeCell ref="C11:C13"/>
    <mergeCell ref="B173:D176"/>
    <mergeCell ref="D11:D13"/>
    <mergeCell ref="W11:X13"/>
    <mergeCell ref="W14:X15"/>
    <mergeCell ref="W16:X17"/>
    <mergeCell ref="W18:X19"/>
    <mergeCell ref="W20:X21"/>
    <mergeCell ref="W22:X23"/>
    <mergeCell ref="W24:X25"/>
    <mergeCell ref="W26:X27"/>
    <mergeCell ref="W28:X29"/>
    <mergeCell ref="W30:X31"/>
    <mergeCell ref="W32:X33"/>
    <mergeCell ref="W34:X35"/>
    <mergeCell ref="W44:X45"/>
    <mergeCell ref="W46:X47"/>
    <mergeCell ref="W48:X49"/>
    <mergeCell ref="W50:X51"/>
    <mergeCell ref="W52:X53"/>
    <mergeCell ref="W54:X55"/>
    <mergeCell ref="W56:X57"/>
    <mergeCell ref="W58:X59"/>
    <mergeCell ref="W82:X83"/>
    <mergeCell ref="W70:X71"/>
    <mergeCell ref="W72:X73"/>
    <mergeCell ref="W74:X75"/>
    <mergeCell ref="W76:X77"/>
    <mergeCell ref="W80:X81"/>
    <mergeCell ref="W120:X121"/>
    <mergeCell ref="C14:C15"/>
    <mergeCell ref="C16:C17"/>
    <mergeCell ref="C18:C19"/>
    <mergeCell ref="C20:C21"/>
    <mergeCell ref="C22:C23"/>
    <mergeCell ref="C24:C25"/>
    <mergeCell ref="C26:C27"/>
    <mergeCell ref="C28:C29"/>
    <mergeCell ref="C30:C31"/>
    <mergeCell ref="C76:C77"/>
    <mergeCell ref="C78:C79"/>
    <mergeCell ref="C80:C81"/>
    <mergeCell ref="C82:C83"/>
    <mergeCell ref="C58:C59"/>
    <mergeCell ref="C60:C61"/>
    <mergeCell ref="C64:C65"/>
    <mergeCell ref="U58:V59"/>
    <mergeCell ref="U56:V57"/>
    <mergeCell ref="D32:D33"/>
    <mergeCell ref="D36:D37"/>
    <mergeCell ref="D42:D43"/>
    <mergeCell ref="D40:D41"/>
    <mergeCell ref="D60:D61"/>
    <mergeCell ref="D64:D65"/>
    <mergeCell ref="D66:D67"/>
    <mergeCell ref="D68:D69"/>
    <mergeCell ref="C32:C33"/>
    <mergeCell ref="C34:C35"/>
    <mergeCell ref="C44:C45"/>
    <mergeCell ref="C46:C47"/>
    <mergeCell ref="C48:C49"/>
    <mergeCell ref="C50:C51"/>
    <mergeCell ref="C52:C53"/>
    <mergeCell ref="C54:C55"/>
    <mergeCell ref="C56:C57"/>
    <mergeCell ref="C36:C37"/>
    <mergeCell ref="C42:C43"/>
    <mergeCell ref="C40:C41"/>
    <mergeCell ref="D34:D35"/>
    <mergeCell ref="D14:D15"/>
    <mergeCell ref="D16:D17"/>
    <mergeCell ref="D18:D19"/>
    <mergeCell ref="D20:D21"/>
    <mergeCell ref="D22:D23"/>
    <mergeCell ref="D24:D25"/>
    <mergeCell ref="D26:D27"/>
    <mergeCell ref="D28:D29"/>
    <mergeCell ref="D30:D31"/>
    <mergeCell ref="D78:D79"/>
    <mergeCell ref="D80:D81"/>
    <mergeCell ref="D82:D83"/>
    <mergeCell ref="D154:D155"/>
    <mergeCell ref="D158:D159"/>
    <mergeCell ref="D92:D93"/>
    <mergeCell ref="D96:D97"/>
    <mergeCell ref="D100:D101"/>
    <mergeCell ref="D104:D105"/>
    <mergeCell ref="D108:D109"/>
    <mergeCell ref="D112:D113"/>
    <mergeCell ref="D146:D147"/>
    <mergeCell ref="W78:X79"/>
    <mergeCell ref="E24:E25"/>
    <mergeCell ref="E26:E27"/>
    <mergeCell ref="E44:E45"/>
    <mergeCell ref="E46:E47"/>
    <mergeCell ref="E52:E53"/>
    <mergeCell ref="E54:E55"/>
    <mergeCell ref="E56:E57"/>
    <mergeCell ref="E58:E59"/>
    <mergeCell ref="E60:E61"/>
    <mergeCell ref="E64:E65"/>
    <mergeCell ref="E66:E67"/>
    <mergeCell ref="E68:E69"/>
    <mergeCell ref="E72:E73"/>
    <mergeCell ref="E74:E75"/>
    <mergeCell ref="E76:E77"/>
    <mergeCell ref="E36:E37"/>
    <mergeCell ref="F36:F37"/>
    <mergeCell ref="T36:T37"/>
    <mergeCell ref="U36:V37"/>
    <mergeCell ref="W36:X37"/>
    <mergeCell ref="W60:X61"/>
    <mergeCell ref="W66:X67"/>
    <mergeCell ref="W68:X69"/>
    <mergeCell ref="B38:B39"/>
    <mergeCell ref="C38:C39"/>
    <mergeCell ref="D38:D39"/>
    <mergeCell ref="E38:E39"/>
    <mergeCell ref="F38:F39"/>
    <mergeCell ref="T38:T39"/>
    <mergeCell ref="U38:V39"/>
    <mergeCell ref="W38:X39"/>
    <mergeCell ref="T40:T41"/>
    <mergeCell ref="W40:X41"/>
    <mergeCell ref="B40:B41"/>
    <mergeCell ref="U40:V41"/>
    <mergeCell ref="B62:B63"/>
    <mergeCell ref="C62:C63"/>
    <mergeCell ref="D62:D63"/>
    <mergeCell ref="E62:E63"/>
    <mergeCell ref="F62:F63"/>
    <mergeCell ref="T62:T63"/>
    <mergeCell ref="U62:V63"/>
    <mergeCell ref="W62:X63"/>
    <mergeCell ref="W42:X43"/>
    <mergeCell ref="D58:D59"/>
    <mergeCell ref="F46:F47"/>
    <mergeCell ref="B58:B59"/>
  </mergeCells>
  <conditionalFormatting sqref="H14:S14">
    <cfRule type="cellIs" dxfId="149" priority="403" stopIfTrue="1" operator="between">
      <formula>1</formula>
      <formula>20</formula>
    </cfRule>
  </conditionalFormatting>
  <conditionalFormatting sqref="H16:S16">
    <cfRule type="cellIs" dxfId="148" priority="402" stopIfTrue="1" operator="between">
      <formula>1</formula>
      <formula>20</formula>
    </cfRule>
  </conditionalFormatting>
  <conditionalFormatting sqref="H18:S18">
    <cfRule type="cellIs" dxfId="147" priority="401" stopIfTrue="1" operator="between">
      <formula>1</formula>
      <formula>20</formula>
    </cfRule>
  </conditionalFormatting>
  <conditionalFormatting sqref="H20:S20">
    <cfRule type="cellIs" dxfId="146" priority="400" stopIfTrue="1" operator="between">
      <formula>1</formula>
      <formula>20</formula>
    </cfRule>
  </conditionalFormatting>
  <conditionalFormatting sqref="H22:S22">
    <cfRule type="cellIs" dxfId="145" priority="399" stopIfTrue="1" operator="between">
      <formula>1</formula>
      <formula>20</formula>
    </cfRule>
  </conditionalFormatting>
  <conditionalFormatting sqref="H24:S24">
    <cfRule type="cellIs" dxfId="144" priority="398" stopIfTrue="1" operator="between">
      <formula>1</formula>
      <formula>20</formula>
    </cfRule>
  </conditionalFormatting>
  <conditionalFormatting sqref="H26:S26">
    <cfRule type="cellIs" dxfId="143" priority="397" stopIfTrue="1" operator="between">
      <formula>1</formula>
      <formula>20</formula>
    </cfRule>
  </conditionalFormatting>
  <conditionalFormatting sqref="H28:S28">
    <cfRule type="cellIs" dxfId="142" priority="396" stopIfTrue="1" operator="between">
      <formula>1</formula>
      <formula>20</formula>
    </cfRule>
  </conditionalFormatting>
  <conditionalFormatting sqref="H30:S30">
    <cfRule type="cellIs" dxfId="141" priority="395" stopIfTrue="1" operator="between">
      <formula>1</formula>
      <formula>20</formula>
    </cfRule>
  </conditionalFormatting>
  <conditionalFormatting sqref="H32:S32">
    <cfRule type="cellIs" dxfId="140" priority="394" stopIfTrue="1" operator="between">
      <formula>1</formula>
      <formula>20</formula>
    </cfRule>
  </conditionalFormatting>
  <conditionalFormatting sqref="H34:S34">
    <cfRule type="cellIs" dxfId="139" priority="393" stopIfTrue="1" operator="between">
      <formula>1</formula>
      <formula>20</formula>
    </cfRule>
  </conditionalFormatting>
  <conditionalFormatting sqref="H72:S72">
    <cfRule type="cellIs" dxfId="138" priority="387" stopIfTrue="1" operator="between">
      <formula>1</formula>
      <formula>20</formula>
    </cfRule>
  </conditionalFormatting>
  <conditionalFormatting sqref="H66:S66">
    <cfRule type="cellIs" dxfId="137" priority="391" stopIfTrue="1" operator="between">
      <formula>1</formula>
      <formula>20</formula>
    </cfRule>
  </conditionalFormatting>
  <conditionalFormatting sqref="H68:S68">
    <cfRule type="cellIs" dxfId="136" priority="390" stopIfTrue="1" operator="between">
      <formula>1</formula>
      <formula>20</formula>
    </cfRule>
  </conditionalFormatting>
  <conditionalFormatting sqref="H70:S70">
    <cfRule type="cellIs" dxfId="135" priority="388" stopIfTrue="1" operator="between">
      <formula>1</formula>
      <formula>20</formula>
    </cfRule>
  </conditionalFormatting>
  <conditionalFormatting sqref="H74:S74">
    <cfRule type="cellIs" dxfId="134" priority="386" stopIfTrue="1" operator="between">
      <formula>1</formula>
      <formula>20</formula>
    </cfRule>
  </conditionalFormatting>
  <conditionalFormatting sqref="H54:S54">
    <cfRule type="cellIs" dxfId="133" priority="309" stopIfTrue="1" operator="between">
      <formula>1</formula>
      <formula>20</formula>
    </cfRule>
  </conditionalFormatting>
  <conditionalFormatting sqref="H76:S76">
    <cfRule type="cellIs" dxfId="132" priority="384" stopIfTrue="1" operator="between">
      <formula>1</formula>
      <formula>20</formula>
    </cfRule>
  </conditionalFormatting>
  <conditionalFormatting sqref="H15:S15">
    <cfRule type="cellIs" dxfId="131" priority="375" stopIfTrue="1" operator="between">
      <formula>1</formula>
      <formula>20</formula>
    </cfRule>
  </conditionalFormatting>
  <conditionalFormatting sqref="H17:S17">
    <cfRule type="cellIs" dxfId="130" priority="374" stopIfTrue="1" operator="between">
      <formula>1</formula>
      <formula>20</formula>
    </cfRule>
  </conditionalFormatting>
  <conditionalFormatting sqref="H19:S19">
    <cfRule type="cellIs" dxfId="129" priority="373" stopIfTrue="1" operator="between">
      <formula>1</formula>
      <formula>20</formula>
    </cfRule>
  </conditionalFormatting>
  <conditionalFormatting sqref="H21:S21">
    <cfRule type="cellIs" dxfId="128" priority="372" stopIfTrue="1" operator="between">
      <formula>1</formula>
      <formula>20</formula>
    </cfRule>
  </conditionalFormatting>
  <conditionalFormatting sqref="H23:S23">
    <cfRule type="cellIs" dxfId="127" priority="371" stopIfTrue="1" operator="between">
      <formula>1</formula>
      <formula>20</formula>
    </cfRule>
  </conditionalFormatting>
  <conditionalFormatting sqref="H25:S25">
    <cfRule type="cellIs" dxfId="126" priority="370" stopIfTrue="1" operator="between">
      <formula>1</formula>
      <formula>20</formula>
    </cfRule>
  </conditionalFormatting>
  <conditionalFormatting sqref="H27:S27">
    <cfRule type="cellIs" dxfId="125" priority="369" stopIfTrue="1" operator="between">
      <formula>1</formula>
      <formula>20</formula>
    </cfRule>
  </conditionalFormatting>
  <conditionalFormatting sqref="H29:S29">
    <cfRule type="cellIs" dxfId="124" priority="368" stopIfTrue="1" operator="between">
      <formula>1</formula>
      <formula>20</formula>
    </cfRule>
  </conditionalFormatting>
  <conditionalFormatting sqref="H31:S31">
    <cfRule type="cellIs" dxfId="123" priority="367" stopIfTrue="1" operator="between">
      <formula>1</formula>
      <formula>20</formula>
    </cfRule>
  </conditionalFormatting>
  <conditionalFormatting sqref="H33:S33">
    <cfRule type="cellIs" dxfId="122" priority="366" stopIfTrue="1" operator="between">
      <formula>1</formula>
      <formula>20</formula>
    </cfRule>
  </conditionalFormatting>
  <conditionalFormatting sqref="H35:S35">
    <cfRule type="cellIs" dxfId="121" priority="365" stopIfTrue="1" operator="between">
      <formula>1</formula>
      <formula>20</formula>
    </cfRule>
  </conditionalFormatting>
  <conditionalFormatting sqref="H73:S73">
    <cfRule type="cellIs" dxfId="120" priority="359" stopIfTrue="1" operator="between">
      <formula>1</formula>
      <formula>20</formula>
    </cfRule>
  </conditionalFormatting>
  <conditionalFormatting sqref="H67:S67">
    <cfRule type="cellIs" dxfId="119" priority="363" stopIfTrue="1" operator="between">
      <formula>1</formula>
      <formula>20</formula>
    </cfRule>
  </conditionalFormatting>
  <conditionalFormatting sqref="H69:S69">
    <cfRule type="cellIs" dxfId="118" priority="362" stopIfTrue="1" operator="between">
      <formula>1</formula>
      <formula>20</formula>
    </cfRule>
  </conditionalFormatting>
  <conditionalFormatting sqref="H65:S65">
    <cfRule type="cellIs" dxfId="117" priority="283" stopIfTrue="1" operator="between">
      <formula>1</formula>
      <formula>20</formula>
    </cfRule>
  </conditionalFormatting>
  <conditionalFormatting sqref="H71:S71">
    <cfRule type="cellIs" dxfId="116" priority="360" stopIfTrue="1" operator="between">
      <formula>1</formula>
      <formula>20</formula>
    </cfRule>
  </conditionalFormatting>
  <conditionalFormatting sqref="H75:S75">
    <cfRule type="cellIs" dxfId="115" priority="358" stopIfTrue="1" operator="between">
      <formula>1</formula>
      <formula>20</formula>
    </cfRule>
  </conditionalFormatting>
  <conditionalFormatting sqref="H77:S77">
    <cfRule type="cellIs" dxfId="114" priority="356" stopIfTrue="1" operator="between">
      <formula>1</formula>
      <formula>20</formula>
    </cfRule>
  </conditionalFormatting>
  <conditionalFormatting sqref="H81:S81">
    <cfRule type="cellIs" dxfId="113" priority="353" stopIfTrue="1" operator="between">
      <formula>1</formula>
      <formula>20</formula>
    </cfRule>
  </conditionalFormatting>
  <conditionalFormatting sqref="H44:S44">
    <cfRule type="cellIs" dxfId="112" priority="334" stopIfTrue="1" operator="between">
      <formula>1</formula>
      <formula>20</formula>
    </cfRule>
  </conditionalFormatting>
  <conditionalFormatting sqref="H45:S45">
    <cfRule type="cellIs" dxfId="111" priority="333" stopIfTrue="1" operator="between">
      <formula>1</formula>
      <formula>20</formula>
    </cfRule>
  </conditionalFormatting>
  <conditionalFormatting sqref="H46:S46">
    <cfRule type="cellIs" dxfId="110" priority="329" stopIfTrue="1" operator="between">
      <formula>1</formula>
      <formula>20</formula>
    </cfRule>
  </conditionalFormatting>
  <conditionalFormatting sqref="H47:S47">
    <cfRule type="cellIs" dxfId="109" priority="328" stopIfTrue="1" operator="between">
      <formula>1</formula>
      <formula>20</formula>
    </cfRule>
  </conditionalFormatting>
  <conditionalFormatting sqref="H48:S48">
    <cfRule type="cellIs" dxfId="108" priority="324" stopIfTrue="1" operator="between">
      <formula>1</formula>
      <formula>20</formula>
    </cfRule>
  </conditionalFormatting>
  <conditionalFormatting sqref="H49:S49">
    <cfRule type="cellIs" dxfId="107" priority="323" stopIfTrue="1" operator="between">
      <formula>1</formula>
      <formula>20</formula>
    </cfRule>
  </conditionalFormatting>
  <conditionalFormatting sqref="H50:S50">
    <cfRule type="cellIs" dxfId="106" priority="319" stopIfTrue="1" operator="between">
      <formula>1</formula>
      <formula>20</formula>
    </cfRule>
  </conditionalFormatting>
  <conditionalFormatting sqref="H51:S51">
    <cfRule type="cellIs" dxfId="105" priority="318" stopIfTrue="1" operator="between">
      <formula>1</formula>
      <formula>20</formula>
    </cfRule>
  </conditionalFormatting>
  <conditionalFormatting sqref="H52:S52">
    <cfRule type="cellIs" dxfId="104" priority="314" stopIfTrue="1" operator="between">
      <formula>1</formula>
      <formula>20</formula>
    </cfRule>
  </conditionalFormatting>
  <conditionalFormatting sqref="H53:S53">
    <cfRule type="cellIs" dxfId="103" priority="313" stopIfTrue="1" operator="between">
      <formula>1</formula>
      <formula>20</formula>
    </cfRule>
  </conditionalFormatting>
  <conditionalFormatting sqref="H55:S55">
    <cfRule type="cellIs" dxfId="102" priority="308" stopIfTrue="1" operator="between">
      <formula>1</formula>
      <formula>20</formula>
    </cfRule>
  </conditionalFormatting>
  <conditionalFormatting sqref="H56:S56">
    <cfRule type="cellIs" dxfId="101" priority="304" stopIfTrue="1" operator="between">
      <formula>1</formula>
      <formula>20</formula>
    </cfRule>
  </conditionalFormatting>
  <conditionalFormatting sqref="H57:S57">
    <cfRule type="cellIs" dxfId="100" priority="303" stopIfTrue="1" operator="between">
      <formula>1</formula>
      <formula>20</formula>
    </cfRule>
  </conditionalFormatting>
  <conditionalFormatting sqref="H58:S58">
    <cfRule type="cellIs" dxfId="99" priority="294" stopIfTrue="1" operator="between">
      <formula>1</formula>
      <formula>20</formula>
    </cfRule>
  </conditionalFormatting>
  <conditionalFormatting sqref="H59:S59">
    <cfRule type="cellIs" dxfId="98" priority="293" stopIfTrue="1" operator="between">
      <formula>1</formula>
      <formula>20</formula>
    </cfRule>
  </conditionalFormatting>
  <conditionalFormatting sqref="H64:S64">
    <cfRule type="cellIs" dxfId="97" priority="284" stopIfTrue="1" operator="between">
      <formula>1</formula>
      <formula>20</formula>
    </cfRule>
  </conditionalFormatting>
  <conditionalFormatting sqref="H60:S60">
    <cfRule type="cellIs" dxfId="96" priority="289" stopIfTrue="1" operator="between">
      <formula>1</formula>
      <formula>20</formula>
    </cfRule>
  </conditionalFormatting>
  <conditionalFormatting sqref="H61:S61">
    <cfRule type="cellIs" dxfId="95" priority="288" stopIfTrue="1" operator="between">
      <formula>1</formula>
      <formula>20</formula>
    </cfRule>
  </conditionalFormatting>
  <conditionalFormatting sqref="H83:S83">
    <cfRule type="cellIs" dxfId="94" priority="278" stopIfTrue="1" operator="between">
      <formula>1</formula>
      <formula>20</formula>
    </cfRule>
  </conditionalFormatting>
  <conditionalFormatting sqref="H84:S84">
    <cfRule type="cellIs" dxfId="93" priority="221" stopIfTrue="1" operator="between">
      <formula>1</formula>
      <formula>20</formula>
    </cfRule>
  </conditionalFormatting>
  <conditionalFormatting sqref="H85:S85">
    <cfRule type="cellIs" dxfId="92" priority="220" stopIfTrue="1" operator="between">
      <formula>1</formula>
      <formula>20</formula>
    </cfRule>
  </conditionalFormatting>
  <conditionalFormatting sqref="H80:S80">
    <cfRule type="cellIs" dxfId="91" priority="136" stopIfTrue="1" operator="between">
      <formula>1</formula>
      <formula>20</formula>
    </cfRule>
  </conditionalFormatting>
  <conditionalFormatting sqref="H82:S82">
    <cfRule type="cellIs" dxfId="90" priority="135" stopIfTrue="1" operator="between">
      <formula>1</formula>
      <formula>20</formula>
    </cfRule>
  </conditionalFormatting>
  <conditionalFormatting sqref="H42:S42">
    <cfRule type="cellIs" dxfId="89" priority="88" stopIfTrue="1" operator="between">
      <formula>1</formula>
      <formula>20</formula>
    </cfRule>
  </conditionalFormatting>
  <conditionalFormatting sqref="H43:S43">
    <cfRule type="cellIs" dxfId="88" priority="87" stopIfTrue="1" operator="between">
      <formula>1</formula>
      <formula>20</formula>
    </cfRule>
  </conditionalFormatting>
  <conditionalFormatting sqref="H79:S79">
    <cfRule type="cellIs" dxfId="87" priority="96" stopIfTrue="1" operator="between">
      <formula>1</formula>
      <formula>20</formula>
    </cfRule>
  </conditionalFormatting>
  <conditionalFormatting sqref="H78:S78">
    <cfRule type="cellIs" dxfId="86" priority="95" stopIfTrue="1" operator="between">
      <formula>1</formula>
      <formula>20</formula>
    </cfRule>
  </conditionalFormatting>
  <conditionalFormatting sqref="H36:S36">
    <cfRule type="cellIs" dxfId="85" priority="94" stopIfTrue="1" operator="between">
      <formula>1</formula>
      <formula>20</formula>
    </cfRule>
  </conditionalFormatting>
  <conditionalFormatting sqref="H37:S37">
    <cfRule type="cellIs" dxfId="84" priority="93" stopIfTrue="1" operator="between">
      <formula>1</formula>
      <formula>20</formula>
    </cfRule>
  </conditionalFormatting>
  <conditionalFormatting sqref="H38:S38">
    <cfRule type="cellIs" dxfId="83" priority="90" stopIfTrue="1" operator="between">
      <formula>1</formula>
      <formula>20</formula>
    </cfRule>
  </conditionalFormatting>
  <conditionalFormatting sqref="H39:S39">
    <cfRule type="cellIs" dxfId="82" priority="89" stopIfTrue="1" operator="between">
      <formula>1</formula>
      <formula>20</formula>
    </cfRule>
  </conditionalFormatting>
  <conditionalFormatting sqref="H104:S104">
    <cfRule type="cellIs" dxfId="81" priority="52" stopIfTrue="1" operator="between">
      <formula>1</formula>
      <formula>20</formula>
    </cfRule>
  </conditionalFormatting>
  <conditionalFormatting sqref="H105:S105">
    <cfRule type="cellIs" dxfId="80" priority="51" stopIfTrue="1" operator="between">
      <formula>1</formula>
      <formula>20</formula>
    </cfRule>
  </conditionalFormatting>
  <conditionalFormatting sqref="H40:S40">
    <cfRule type="cellIs" dxfId="79" priority="86" stopIfTrue="1" operator="between">
      <formula>1</formula>
      <formula>20</formula>
    </cfRule>
  </conditionalFormatting>
  <conditionalFormatting sqref="H41:S41">
    <cfRule type="cellIs" dxfId="78" priority="85" stopIfTrue="1" operator="between">
      <formula>1</formula>
      <formula>20</formula>
    </cfRule>
  </conditionalFormatting>
  <conditionalFormatting sqref="H62:S62">
    <cfRule type="cellIs" dxfId="77" priority="84" stopIfTrue="1" operator="between">
      <formula>1</formula>
      <formula>20</formula>
    </cfRule>
  </conditionalFormatting>
  <conditionalFormatting sqref="H63:S63">
    <cfRule type="cellIs" dxfId="76" priority="83" stopIfTrue="1" operator="between">
      <formula>1</formula>
      <formula>20</formula>
    </cfRule>
  </conditionalFormatting>
  <conditionalFormatting sqref="H154:S154">
    <cfRule type="cellIs" dxfId="75" priority="82" stopIfTrue="1" operator="between">
      <formula>1</formula>
      <formula>20</formula>
    </cfRule>
  </conditionalFormatting>
  <conditionalFormatting sqref="H155:S155">
    <cfRule type="cellIs" dxfId="74" priority="81" stopIfTrue="1" operator="between">
      <formula>1</formula>
      <formula>20</formula>
    </cfRule>
  </conditionalFormatting>
  <conditionalFormatting sqref="H159:S159">
    <cfRule type="cellIs" dxfId="73" priority="80" stopIfTrue="1" operator="between">
      <formula>1</formula>
      <formula>20</formula>
    </cfRule>
  </conditionalFormatting>
  <conditionalFormatting sqref="H161:S161">
    <cfRule type="cellIs" dxfId="72" priority="79" stopIfTrue="1" operator="between">
      <formula>1</formula>
      <formula>20</formula>
    </cfRule>
  </conditionalFormatting>
  <conditionalFormatting sqref="H158:S158">
    <cfRule type="cellIs" dxfId="71" priority="76" stopIfTrue="1" operator="between">
      <formula>1</formula>
      <formula>20</formula>
    </cfRule>
  </conditionalFormatting>
  <conditionalFormatting sqref="H160:S160">
    <cfRule type="cellIs" dxfId="70" priority="75" stopIfTrue="1" operator="between">
      <formula>1</formula>
      <formula>20</formula>
    </cfRule>
  </conditionalFormatting>
  <conditionalFormatting sqref="H157:S157">
    <cfRule type="cellIs" dxfId="69" priority="74" stopIfTrue="1" operator="between">
      <formula>1</formula>
      <formula>20</formula>
    </cfRule>
  </conditionalFormatting>
  <conditionalFormatting sqref="H156:S156">
    <cfRule type="cellIs" dxfId="68" priority="73" stopIfTrue="1" operator="between">
      <formula>1</formula>
      <formula>20</formula>
    </cfRule>
  </conditionalFormatting>
  <conditionalFormatting sqref="H86:S86">
    <cfRule type="cellIs" dxfId="67" priority="72" stopIfTrue="1" operator="between">
      <formula>1</formula>
      <formula>20</formula>
    </cfRule>
  </conditionalFormatting>
  <conditionalFormatting sqref="H87:S87">
    <cfRule type="cellIs" dxfId="66" priority="71" stopIfTrue="1" operator="between">
      <formula>1</formula>
      <formula>20</formula>
    </cfRule>
  </conditionalFormatting>
  <conditionalFormatting sqref="H88:S88">
    <cfRule type="cellIs" dxfId="65" priority="70" stopIfTrue="1" operator="between">
      <formula>1</formula>
      <formula>20</formula>
    </cfRule>
  </conditionalFormatting>
  <conditionalFormatting sqref="H89:S89">
    <cfRule type="cellIs" dxfId="64" priority="69" stopIfTrue="1" operator="between">
      <formula>1</formula>
      <formula>20</formula>
    </cfRule>
  </conditionalFormatting>
  <conditionalFormatting sqref="H90:S90">
    <cfRule type="cellIs" dxfId="61" priority="66" stopIfTrue="1" operator="between">
      <formula>1</formula>
      <formula>20</formula>
    </cfRule>
  </conditionalFormatting>
  <conditionalFormatting sqref="H91:S91">
    <cfRule type="cellIs" dxfId="60" priority="65" stopIfTrue="1" operator="between">
      <formula>1</formula>
      <formula>20</formula>
    </cfRule>
  </conditionalFormatting>
  <conditionalFormatting sqref="H92:S92">
    <cfRule type="cellIs" dxfId="59" priority="64" stopIfTrue="1" operator="between">
      <formula>1</formula>
      <formula>20</formula>
    </cfRule>
  </conditionalFormatting>
  <conditionalFormatting sqref="H93:S93">
    <cfRule type="cellIs" dxfId="58" priority="63" stopIfTrue="1" operator="between">
      <formula>1</formula>
      <formula>20</formula>
    </cfRule>
  </conditionalFormatting>
  <conditionalFormatting sqref="H94:S94">
    <cfRule type="cellIs" dxfId="57" priority="62" stopIfTrue="1" operator="between">
      <formula>1</formula>
      <formula>20</formula>
    </cfRule>
  </conditionalFormatting>
  <conditionalFormatting sqref="H95:S95">
    <cfRule type="cellIs" dxfId="56" priority="61" stopIfTrue="1" operator="between">
      <formula>1</formula>
      <formula>20</formula>
    </cfRule>
  </conditionalFormatting>
  <conditionalFormatting sqref="H96:S96">
    <cfRule type="cellIs" dxfId="55" priority="60" stopIfTrue="1" operator="between">
      <formula>1</formula>
      <formula>20</formula>
    </cfRule>
  </conditionalFormatting>
  <conditionalFormatting sqref="H97:S97">
    <cfRule type="cellIs" dxfId="54" priority="59" stopIfTrue="1" operator="between">
      <formula>1</formula>
      <formula>20</formula>
    </cfRule>
  </conditionalFormatting>
  <conditionalFormatting sqref="H98:S98">
    <cfRule type="cellIs" dxfId="53" priority="58" stopIfTrue="1" operator="between">
      <formula>1</formula>
      <formula>20</formula>
    </cfRule>
  </conditionalFormatting>
  <conditionalFormatting sqref="H99:S99">
    <cfRule type="cellIs" dxfId="52" priority="57" stopIfTrue="1" operator="between">
      <formula>1</formula>
      <formula>20</formula>
    </cfRule>
  </conditionalFormatting>
  <conditionalFormatting sqref="H100:S100">
    <cfRule type="cellIs" dxfId="51" priority="56" stopIfTrue="1" operator="between">
      <formula>1</formula>
      <formula>20</formula>
    </cfRule>
  </conditionalFormatting>
  <conditionalFormatting sqref="H101:S101">
    <cfRule type="cellIs" dxfId="50" priority="55" stopIfTrue="1" operator="between">
      <formula>1</formula>
      <formula>20</formula>
    </cfRule>
  </conditionalFormatting>
  <conditionalFormatting sqref="H102:S102">
    <cfRule type="cellIs" dxfId="49" priority="54" stopIfTrue="1" operator="between">
      <formula>1</formula>
      <formula>20</formula>
    </cfRule>
  </conditionalFormatting>
  <conditionalFormatting sqref="H103:S103">
    <cfRule type="cellIs" dxfId="48" priority="53" stopIfTrue="1" operator="between">
      <formula>1</formula>
      <formula>20</formula>
    </cfRule>
  </conditionalFormatting>
  <conditionalFormatting sqref="H132:S132">
    <cfRule type="cellIs" dxfId="47" priority="22" stopIfTrue="1" operator="between">
      <formula>1</formula>
      <formula>20</formula>
    </cfRule>
  </conditionalFormatting>
  <conditionalFormatting sqref="H133:S133">
    <cfRule type="cellIs" dxfId="46" priority="21" stopIfTrue="1" operator="between">
      <formula>1</formula>
      <formula>20</formula>
    </cfRule>
  </conditionalFormatting>
  <conditionalFormatting sqref="H106:S106">
    <cfRule type="cellIs" dxfId="45" priority="50" stopIfTrue="1" operator="between">
      <formula>1</formula>
      <formula>20</formula>
    </cfRule>
  </conditionalFormatting>
  <conditionalFormatting sqref="H107:S107">
    <cfRule type="cellIs" dxfId="44" priority="49" stopIfTrue="1" operator="between">
      <formula>1</formula>
      <formula>20</formula>
    </cfRule>
  </conditionalFormatting>
  <conditionalFormatting sqref="H108:S108">
    <cfRule type="cellIs" dxfId="43" priority="48" stopIfTrue="1" operator="between">
      <formula>1</formula>
      <formula>20</formula>
    </cfRule>
  </conditionalFormatting>
  <conditionalFormatting sqref="H109:S109">
    <cfRule type="cellIs" dxfId="42" priority="47" stopIfTrue="1" operator="between">
      <formula>1</formula>
      <formula>20</formula>
    </cfRule>
  </conditionalFormatting>
  <conditionalFormatting sqref="H110:S110">
    <cfRule type="cellIs" dxfId="41" priority="46" stopIfTrue="1" operator="between">
      <formula>1</formula>
      <formula>20</formula>
    </cfRule>
  </conditionalFormatting>
  <conditionalFormatting sqref="H111:S111">
    <cfRule type="cellIs" dxfId="40" priority="45" stopIfTrue="1" operator="between">
      <formula>1</formula>
      <formula>20</formula>
    </cfRule>
  </conditionalFormatting>
  <conditionalFormatting sqref="H112:S112">
    <cfRule type="cellIs" dxfId="39" priority="44" stopIfTrue="1" operator="between">
      <formula>1</formula>
      <formula>20</formula>
    </cfRule>
  </conditionalFormatting>
  <conditionalFormatting sqref="H113:S113">
    <cfRule type="cellIs" dxfId="38" priority="43" stopIfTrue="1" operator="between">
      <formula>1</formula>
      <formula>20</formula>
    </cfRule>
  </conditionalFormatting>
  <conditionalFormatting sqref="H114:S114">
    <cfRule type="cellIs" dxfId="37" priority="42" stopIfTrue="1" operator="between">
      <formula>1</formula>
      <formula>20</formula>
    </cfRule>
  </conditionalFormatting>
  <conditionalFormatting sqref="H115:S115">
    <cfRule type="cellIs" dxfId="36" priority="41" stopIfTrue="1" operator="between">
      <formula>1</formula>
      <formula>20</formula>
    </cfRule>
  </conditionalFormatting>
  <conditionalFormatting sqref="H116:S116">
    <cfRule type="cellIs" dxfId="35" priority="40" stopIfTrue="1" operator="between">
      <formula>1</formula>
      <formula>20</formula>
    </cfRule>
  </conditionalFormatting>
  <conditionalFormatting sqref="H117:S117">
    <cfRule type="cellIs" dxfId="34" priority="39" stopIfTrue="1" operator="between">
      <formula>1</formula>
      <formula>20</formula>
    </cfRule>
  </conditionalFormatting>
  <conditionalFormatting sqref="H118:S118">
    <cfRule type="cellIs" dxfId="33" priority="36" stopIfTrue="1" operator="between">
      <formula>1</formula>
      <formula>20</formula>
    </cfRule>
  </conditionalFormatting>
  <conditionalFormatting sqref="H119:S119">
    <cfRule type="cellIs" dxfId="32" priority="35" stopIfTrue="1" operator="between">
      <formula>1</formula>
      <formula>20</formula>
    </cfRule>
  </conditionalFormatting>
  <conditionalFormatting sqref="H120:S120">
    <cfRule type="cellIs" dxfId="31" priority="34" stopIfTrue="1" operator="between">
      <formula>1</formula>
      <formula>20</formula>
    </cfRule>
  </conditionalFormatting>
  <conditionalFormatting sqref="H121:S121">
    <cfRule type="cellIs" dxfId="30" priority="33" stopIfTrue="1" operator="between">
      <formula>1</formula>
      <formula>20</formula>
    </cfRule>
  </conditionalFormatting>
  <conditionalFormatting sqref="H122:S122">
    <cfRule type="cellIs" dxfId="29" priority="32" stopIfTrue="1" operator="between">
      <formula>1</formula>
      <formula>20</formula>
    </cfRule>
  </conditionalFormatting>
  <conditionalFormatting sqref="H123:S123">
    <cfRule type="cellIs" dxfId="28" priority="31" stopIfTrue="1" operator="between">
      <formula>1</formula>
      <formula>20</formula>
    </cfRule>
  </conditionalFormatting>
  <conditionalFormatting sqref="H124:S124">
    <cfRule type="cellIs" dxfId="27" priority="30" stopIfTrue="1" operator="between">
      <formula>1</formula>
      <formula>20</formula>
    </cfRule>
  </conditionalFormatting>
  <conditionalFormatting sqref="H125:S125">
    <cfRule type="cellIs" dxfId="26" priority="29" stopIfTrue="1" operator="between">
      <formula>1</formula>
      <formula>20</formula>
    </cfRule>
  </conditionalFormatting>
  <conditionalFormatting sqref="H126:S126">
    <cfRule type="cellIs" dxfId="25" priority="28" stopIfTrue="1" operator="between">
      <formula>1</formula>
      <formula>20</formula>
    </cfRule>
  </conditionalFormatting>
  <conditionalFormatting sqref="H127:S127">
    <cfRule type="cellIs" dxfId="24" priority="27" stopIfTrue="1" operator="between">
      <formula>1</formula>
      <formula>20</formula>
    </cfRule>
  </conditionalFormatting>
  <conditionalFormatting sqref="H128:S128">
    <cfRule type="cellIs" dxfId="23" priority="26" stopIfTrue="1" operator="between">
      <formula>1</formula>
      <formula>20</formula>
    </cfRule>
  </conditionalFormatting>
  <conditionalFormatting sqref="H129:S129">
    <cfRule type="cellIs" dxfId="22" priority="25" stopIfTrue="1" operator="between">
      <formula>1</formula>
      <formula>20</formula>
    </cfRule>
  </conditionalFormatting>
  <conditionalFormatting sqref="H130:S130">
    <cfRule type="cellIs" dxfId="21" priority="24" stopIfTrue="1" operator="between">
      <formula>1</formula>
      <formula>20</formula>
    </cfRule>
  </conditionalFormatting>
  <conditionalFormatting sqref="H131:S131">
    <cfRule type="cellIs" dxfId="20" priority="23" stopIfTrue="1" operator="between">
      <formula>1</formula>
      <formula>20</formula>
    </cfRule>
  </conditionalFormatting>
  <conditionalFormatting sqref="H138:S138">
    <cfRule type="cellIs" dxfId="19" priority="20" stopIfTrue="1" operator="between">
      <formula>1</formula>
      <formula>20</formula>
    </cfRule>
  </conditionalFormatting>
  <conditionalFormatting sqref="H139:S139">
    <cfRule type="cellIs" dxfId="18" priority="19" stopIfTrue="1" operator="between">
      <formula>1</formula>
      <formula>20</formula>
    </cfRule>
  </conditionalFormatting>
  <conditionalFormatting sqref="H140:S140">
    <cfRule type="cellIs" dxfId="17" priority="18" stopIfTrue="1" operator="between">
      <formula>1</formula>
      <formula>20</formula>
    </cfRule>
  </conditionalFormatting>
  <conditionalFormatting sqref="H141:S141">
    <cfRule type="cellIs" dxfId="16" priority="17" stopIfTrue="1" operator="between">
      <formula>1</formula>
      <formula>20</formula>
    </cfRule>
  </conditionalFormatting>
  <conditionalFormatting sqref="H142:S142">
    <cfRule type="cellIs" dxfId="15" priority="16" stopIfTrue="1" operator="between">
      <formula>1</formula>
      <formula>20</formula>
    </cfRule>
  </conditionalFormatting>
  <conditionalFormatting sqref="H143:S143">
    <cfRule type="cellIs" dxfId="14" priority="15" stopIfTrue="1" operator="between">
      <formula>1</formula>
      <formula>20</formula>
    </cfRule>
  </conditionalFormatting>
  <conditionalFormatting sqref="H144:S144">
    <cfRule type="cellIs" dxfId="13" priority="14" stopIfTrue="1" operator="between">
      <formula>1</formula>
      <formula>20</formula>
    </cfRule>
  </conditionalFormatting>
  <conditionalFormatting sqref="H145:S145">
    <cfRule type="cellIs" dxfId="12" priority="13" stopIfTrue="1" operator="between">
      <formula>1</formula>
      <formula>20</formula>
    </cfRule>
  </conditionalFormatting>
  <conditionalFormatting sqref="H146:S146">
    <cfRule type="cellIs" dxfId="11" priority="12" stopIfTrue="1" operator="between">
      <formula>1</formula>
      <formula>20</formula>
    </cfRule>
  </conditionalFormatting>
  <conditionalFormatting sqref="H147:S147">
    <cfRule type="cellIs" dxfId="10" priority="11" stopIfTrue="1" operator="between">
      <formula>1</formula>
      <formula>20</formula>
    </cfRule>
  </conditionalFormatting>
  <conditionalFormatting sqref="H148:S148">
    <cfRule type="cellIs" dxfId="9" priority="10" stopIfTrue="1" operator="between">
      <formula>1</formula>
      <formula>20</formula>
    </cfRule>
  </conditionalFormatting>
  <conditionalFormatting sqref="H149:S149">
    <cfRule type="cellIs" dxfId="8" priority="9" stopIfTrue="1" operator="between">
      <formula>1</formula>
      <formula>20</formula>
    </cfRule>
  </conditionalFormatting>
  <conditionalFormatting sqref="H150:S150">
    <cfRule type="cellIs" dxfId="7" priority="8" stopIfTrue="1" operator="between">
      <formula>1</formula>
      <formula>20</formula>
    </cfRule>
  </conditionalFormatting>
  <conditionalFormatting sqref="H151:S151">
    <cfRule type="cellIs" dxfId="6" priority="7" stopIfTrue="1" operator="between">
      <formula>1</formula>
      <formula>20</formula>
    </cfRule>
  </conditionalFormatting>
  <conditionalFormatting sqref="H152:S152">
    <cfRule type="cellIs" dxfId="5" priority="6" stopIfTrue="1" operator="between">
      <formula>1</formula>
      <formula>20</formula>
    </cfRule>
  </conditionalFormatting>
  <conditionalFormatting sqref="H153:S153">
    <cfRule type="cellIs" dxfId="4" priority="5" stopIfTrue="1" operator="between">
      <formula>1</formula>
      <formula>20</formula>
    </cfRule>
  </conditionalFormatting>
  <conditionalFormatting sqref="H134:S134">
    <cfRule type="cellIs" dxfId="3" priority="4" stopIfTrue="1" operator="between">
      <formula>1</formula>
      <formula>20</formula>
    </cfRule>
  </conditionalFormatting>
  <conditionalFormatting sqref="H135:S135">
    <cfRule type="cellIs" dxfId="2" priority="3" stopIfTrue="1" operator="between">
      <formula>1</formula>
      <formula>20</formula>
    </cfRule>
  </conditionalFormatting>
  <conditionalFormatting sqref="H136:S136">
    <cfRule type="cellIs" dxfId="1" priority="2" stopIfTrue="1" operator="between">
      <formula>1</formula>
      <formula>20</formula>
    </cfRule>
  </conditionalFormatting>
  <conditionalFormatting sqref="H137:S137">
    <cfRule type="cellIs" dxfId="0" priority="1" stopIfTrue="1" operator="between">
      <formula>1</formula>
      <formula>20</formula>
    </cfRule>
  </conditionalFormatting>
  <printOptions horizontalCentered="1"/>
  <pageMargins left="0.39370078740157483" right="0.39370078740157483" top="0.59055118110236227" bottom="0.59055118110236227" header="0" footer="0"/>
  <pageSetup scale="59" fitToHeight="0" orientation="landscape" horizontalDpi="300" verticalDpi="196" r:id="rId1"/>
  <headerFooter alignWithMargins="0">
    <oddFooter>&amp;R&amp;8&amp;P/&amp;N</oddFooter>
  </headerFooter>
  <ignoredErrors>
    <ignoredError sqref="T14 T16 T18 T66 T68 T70 T72 T74 T76 T80 H162:T162 H163:R163 S163:T163" unlockedFormula="1"/>
  </ignoredError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1</vt:lpstr>
      <vt:lpstr>'1'!Área_de_impresión</vt:lpstr>
      <vt:lpstr>'1'!Títulos_a_imprimir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SSECAM CONSULTORES SAS;RICARDO ABSALON BERNAL</dc:creator>
  <cp:lastModifiedBy>user</cp:lastModifiedBy>
  <cp:lastPrinted>2017-02-03T07:50:00Z</cp:lastPrinted>
  <dcterms:created xsi:type="dcterms:W3CDTF">2008-10-02T15:12:04Z</dcterms:created>
  <dcterms:modified xsi:type="dcterms:W3CDTF">2021-09-15T19:37:17Z</dcterms:modified>
</cp:coreProperties>
</file>
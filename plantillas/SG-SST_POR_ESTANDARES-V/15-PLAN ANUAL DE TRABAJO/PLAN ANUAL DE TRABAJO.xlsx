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CAPACITACIÓN PLAN ANUAL DE TRABAJO\"/>
    </mc:Choice>
  </mc:AlternateContent>
  <bookViews>
    <workbookView xWindow="-120" yWindow="-120" windowWidth="20730" windowHeight="11160" tabRatio="584"/>
  </bookViews>
  <sheets>
    <sheet name="1" sheetId="5" r:id="rId1"/>
  </sheets>
  <definedNames>
    <definedName name="_xlnm.Print_Area" localSheetId="0">'1'!$A$1:$U$172</definedName>
    <definedName name="_xlnm.Print_Titles" localSheetId="0">'1'!$1:$3</definedName>
  </definedNames>
  <calcPr calcId="152511"/>
</workbook>
</file>

<file path=xl/calcChain.xml><?xml version="1.0" encoding="utf-8"?>
<calcChain xmlns="http://schemas.openxmlformats.org/spreadsheetml/2006/main">
  <c r="Q34" i="5" l="1"/>
  <c r="Q64" i="5"/>
  <c r="Q32" i="5" l="1"/>
  <c r="Q30" i="5"/>
  <c r="Q28" i="5"/>
  <c r="Q146" i="5"/>
  <c r="Q144" i="5"/>
  <c r="Q142" i="5"/>
  <c r="Q140" i="5"/>
  <c r="Q138" i="5"/>
  <c r="Q136" i="5"/>
  <c r="Q134" i="5"/>
  <c r="Q132" i="5"/>
  <c r="Q112" i="5"/>
  <c r="Q110" i="5"/>
  <c r="Q108" i="5"/>
  <c r="Q92" i="5"/>
  <c r="Q90" i="5"/>
  <c r="Q88" i="5"/>
  <c r="Q82" i="5"/>
  <c r="Q80" i="5"/>
  <c r="Q78" i="5"/>
  <c r="Q66" i="5"/>
  <c r="Q60" i="5"/>
  <c r="Q58" i="5"/>
  <c r="Q54" i="5"/>
  <c r="Q50" i="5"/>
  <c r="Q48" i="5"/>
  <c r="Q46" i="5"/>
  <c r="Q40" i="5"/>
  <c r="Q38" i="5"/>
  <c r="Q36" i="5"/>
  <c r="Q24" i="5"/>
  <c r="Q22" i="5"/>
  <c r="Q20" i="5"/>
  <c r="Q16" i="5" l="1"/>
  <c r="Q130" i="5"/>
  <c r="Q128" i="5"/>
  <c r="Q126" i="5"/>
  <c r="Q124" i="5"/>
  <c r="Q122" i="5"/>
  <c r="Q120" i="5"/>
  <c r="Q118" i="5"/>
  <c r="Q72" i="5" l="1"/>
  <c r="Q158" i="5" l="1"/>
  <c r="Q156" i="5"/>
  <c r="Q154" i="5"/>
  <c r="Q150" i="5"/>
  <c r="Q148" i="5"/>
  <c r="Q116" i="5" l="1"/>
  <c r="Q114" i="5"/>
  <c r="Q106" i="5"/>
  <c r="Q104" i="5"/>
  <c r="Q102" i="5"/>
  <c r="Q100" i="5"/>
  <c r="Q98" i="5"/>
  <c r="Q70" i="5"/>
  <c r="Q26" i="5"/>
  <c r="Q42" i="5"/>
  <c r="Q44" i="5"/>
  <c r="Q52" i="5"/>
  <c r="Q56" i="5"/>
  <c r="Q62" i="5"/>
  <c r="Q68" i="5"/>
  <c r="O161" i="5" l="1"/>
  <c r="O171" i="5" s="1"/>
  <c r="F160" i="5"/>
  <c r="F170" i="5" s="1"/>
  <c r="G160" i="5"/>
  <c r="G170" i="5" s="1"/>
  <c r="H160" i="5"/>
  <c r="H170" i="5" s="1"/>
  <c r="I160" i="5"/>
  <c r="I170" i="5" s="1"/>
  <c r="J160" i="5"/>
  <c r="J170" i="5" s="1"/>
  <c r="K160" i="5"/>
  <c r="K170" i="5" s="1"/>
  <c r="L160" i="5"/>
  <c r="L170" i="5" s="1"/>
  <c r="M160" i="5"/>
  <c r="M170" i="5" s="1"/>
  <c r="N160" i="5"/>
  <c r="N170" i="5" s="1"/>
  <c r="O160" i="5"/>
  <c r="O170" i="5" s="1"/>
  <c r="P160" i="5"/>
  <c r="P170" i="5" s="1"/>
  <c r="F161" i="5"/>
  <c r="F171" i="5" s="1"/>
  <c r="G161" i="5"/>
  <c r="G171" i="5" s="1"/>
  <c r="H161" i="5"/>
  <c r="H171" i="5" s="1"/>
  <c r="I161" i="5"/>
  <c r="I171" i="5" s="1"/>
  <c r="J161" i="5"/>
  <c r="J171" i="5" s="1"/>
  <c r="K161" i="5"/>
  <c r="K171" i="5" s="1"/>
  <c r="L161" i="5"/>
  <c r="L171" i="5" s="1"/>
  <c r="M161" i="5"/>
  <c r="M171" i="5" s="1"/>
  <c r="N161" i="5"/>
  <c r="N171" i="5" s="1"/>
  <c r="P161" i="5"/>
  <c r="P171" i="5" s="1"/>
  <c r="E161" i="5"/>
  <c r="E160" i="5"/>
  <c r="E170" i="5" s="1"/>
  <c r="Q18" i="5"/>
  <c r="Q74" i="5"/>
  <c r="Q76" i="5"/>
  <c r="Q84" i="5"/>
  <c r="Q86" i="5"/>
  <c r="Q94" i="5"/>
  <c r="Q96" i="5"/>
  <c r="Q152" i="5"/>
  <c r="O172" i="5" l="1"/>
  <c r="R16" i="5"/>
  <c r="L172" i="5"/>
  <c r="E171" i="5"/>
  <c r="Q171" i="5" s="1"/>
  <c r="R152" i="5"/>
  <c r="I172" i="5"/>
  <c r="G172" i="5"/>
  <c r="M172" i="5"/>
  <c r="J172" i="5"/>
  <c r="K172" i="5"/>
  <c r="P172" i="5"/>
  <c r="N172" i="5"/>
  <c r="H172" i="5"/>
  <c r="F172" i="5"/>
  <c r="Q160" i="5"/>
  <c r="Q161" i="5"/>
  <c r="Q170" i="5"/>
  <c r="E172" i="5" l="1"/>
  <c r="Q172" i="5"/>
</calcChain>
</file>

<file path=xl/comments1.xml><?xml version="1.0" encoding="utf-8"?>
<comments xmlns="http://schemas.openxmlformats.org/spreadsheetml/2006/main">
  <authors>
    <author>TM2</author>
    <author>LENOVO 1</author>
  </authors>
  <commentList>
    <comment ref="A13" authorId="0" shapeId="0">
      <text>
        <r>
          <rPr>
            <b/>
            <u/>
            <sz val="10"/>
            <color indexed="81"/>
            <rFont val="Tahoma"/>
            <family val="2"/>
          </rPr>
          <t>NUMERALES CORRESPONDIENTES AL PHVA</t>
        </r>
        <r>
          <rPr>
            <b/>
            <sz val="9"/>
            <color indexed="81"/>
            <rFont val="Tahoma"/>
            <family val="2"/>
          </rPr>
          <t xml:space="preserve">
PLANEAR:</t>
        </r>
        <r>
          <rPr>
            <sz val="9"/>
            <color indexed="81"/>
            <rFont val="Tahoma"/>
            <family val="2"/>
          </rPr>
          <t xml:space="preserve"> 
NUMERAL 1.1.1 Hasta 2.11.1 
</t>
        </r>
        <r>
          <rPr>
            <b/>
            <sz val="9"/>
            <color indexed="81"/>
            <rFont val="Tahoma"/>
            <family val="2"/>
          </rPr>
          <t xml:space="preserve">HACER:
</t>
        </r>
        <r>
          <rPr>
            <sz val="9"/>
            <color indexed="81"/>
            <rFont val="Tahoma"/>
            <family val="2"/>
          </rPr>
          <t xml:space="preserve">NUMERAL3.1.1 Hasta 5.1.2
</t>
        </r>
        <r>
          <rPr>
            <b/>
            <sz val="9"/>
            <color indexed="81"/>
            <rFont val="Tahoma"/>
            <family val="2"/>
          </rPr>
          <t>VERIFICAR:</t>
        </r>
        <r>
          <rPr>
            <sz val="9"/>
            <color indexed="81"/>
            <rFont val="Tahoma"/>
            <family val="2"/>
          </rPr>
          <t xml:space="preserve"> 
NUMERAL 6.1.1 Hasta 6.1.4
</t>
        </r>
        <r>
          <rPr>
            <b/>
            <sz val="9"/>
            <color indexed="81"/>
            <rFont val="Tahoma"/>
            <family val="2"/>
          </rPr>
          <t xml:space="preserve">ACTUAR:
</t>
        </r>
        <r>
          <rPr>
            <sz val="9"/>
            <color indexed="81"/>
            <rFont val="Tahoma"/>
            <family val="2"/>
          </rPr>
          <t>NUMERAL 6.1.1 Hasta 6.1.4</t>
        </r>
      </text>
    </comment>
    <comment ref="E17" authorId="1" shapeId="0">
      <text>
        <r>
          <rPr>
            <b/>
            <sz val="9"/>
            <color indexed="81"/>
            <rFont val="Tahoma"/>
            <charset val="1"/>
          </rPr>
          <t>LENOVO 1:</t>
        </r>
        <r>
          <rPr>
            <sz val="9"/>
            <color indexed="81"/>
            <rFont val="Tahoma"/>
            <charset val="1"/>
          </rPr>
          <t xml:space="preserve">
Se realizó finalizando diciembre 2020</t>
        </r>
      </text>
    </comment>
    <comment ref="E47" authorId="1" shapeId="0">
      <text>
        <r>
          <rPr>
            <b/>
            <sz val="9"/>
            <color indexed="81"/>
            <rFont val="Tahoma"/>
            <charset val="1"/>
          </rPr>
          <t>LENOVO 1:</t>
        </r>
        <r>
          <rPr>
            <sz val="9"/>
            <color indexed="81"/>
            <rFont val="Tahoma"/>
            <charset val="1"/>
          </rPr>
          <t xml:space="preserve">
Se hizo finalizando diciembre 2020</t>
        </r>
      </text>
    </comment>
    <comment ref="E49" authorId="1" shapeId="0">
      <text>
        <r>
          <rPr>
            <b/>
            <sz val="9"/>
            <color indexed="81"/>
            <rFont val="Tahoma"/>
            <charset val="1"/>
          </rPr>
          <t>LENOVO 1:</t>
        </r>
        <r>
          <rPr>
            <sz val="9"/>
            <color indexed="81"/>
            <rFont val="Tahoma"/>
            <charset val="1"/>
          </rPr>
          <t xml:space="preserve">
Se hizo finalizando diciembre 2020</t>
        </r>
      </text>
    </comment>
    <comment ref="E51" authorId="1" shapeId="0">
      <text>
        <r>
          <rPr>
            <b/>
            <sz val="9"/>
            <color indexed="81"/>
            <rFont val="Tahoma"/>
            <charset val="1"/>
          </rPr>
          <t>LENOVO 1:</t>
        </r>
        <r>
          <rPr>
            <sz val="9"/>
            <color indexed="81"/>
            <rFont val="Tahoma"/>
            <charset val="1"/>
          </rPr>
          <t xml:space="preserve">
Se hizo finalizando diciembre 2020</t>
        </r>
      </text>
    </comment>
    <comment ref="E53" authorId="1" shapeId="0">
      <text>
        <r>
          <rPr>
            <b/>
            <sz val="9"/>
            <color indexed="81"/>
            <rFont val="Tahoma"/>
            <charset val="1"/>
          </rPr>
          <t>LENOVO 1:</t>
        </r>
        <r>
          <rPr>
            <sz val="9"/>
            <color indexed="81"/>
            <rFont val="Tahoma"/>
            <charset val="1"/>
          </rPr>
          <t xml:space="preserve">
Se hizo finalizando diciembre 2020</t>
        </r>
      </text>
    </comment>
    <comment ref="E55" authorId="1" shapeId="0">
      <text>
        <r>
          <rPr>
            <b/>
            <sz val="9"/>
            <color indexed="81"/>
            <rFont val="Tahoma"/>
            <charset val="1"/>
          </rPr>
          <t>LENOVO 1:</t>
        </r>
        <r>
          <rPr>
            <sz val="9"/>
            <color indexed="81"/>
            <rFont val="Tahoma"/>
            <charset val="1"/>
          </rPr>
          <t xml:space="preserve">
Se hizo finalizando diciembre 2020</t>
        </r>
      </text>
    </comment>
    <comment ref="E57" authorId="1" shapeId="0">
      <text>
        <r>
          <rPr>
            <b/>
            <sz val="9"/>
            <color indexed="81"/>
            <rFont val="Tahoma"/>
            <charset val="1"/>
          </rPr>
          <t>LENOVO 1:</t>
        </r>
        <r>
          <rPr>
            <sz val="9"/>
            <color indexed="81"/>
            <rFont val="Tahoma"/>
            <charset val="1"/>
          </rPr>
          <t xml:space="preserve">
Se hizo finalizando diciembre 2020</t>
        </r>
      </text>
    </comment>
    <comment ref="E65" authorId="1" shapeId="0">
      <text>
        <r>
          <rPr>
            <b/>
            <sz val="9"/>
            <color indexed="81"/>
            <rFont val="Tahoma"/>
            <charset val="1"/>
          </rPr>
          <t>LENOVO 1:</t>
        </r>
        <r>
          <rPr>
            <sz val="9"/>
            <color indexed="81"/>
            <rFont val="Tahoma"/>
            <charset val="1"/>
          </rPr>
          <t xml:space="preserve">
Se hizo finalizando diciembre 2020</t>
        </r>
      </text>
    </comment>
    <comment ref="E151" authorId="1" shapeId="0">
      <text>
        <r>
          <rPr>
            <b/>
            <sz val="9"/>
            <color indexed="81"/>
            <rFont val="Tahoma"/>
            <charset val="1"/>
          </rPr>
          <t>LENOVO 1:</t>
        </r>
        <r>
          <rPr>
            <sz val="9"/>
            <color indexed="81"/>
            <rFont val="Tahoma"/>
            <charset val="1"/>
          </rPr>
          <t xml:space="preserve">
Se realizó finalizando diciembre del 2020</t>
        </r>
      </text>
    </comment>
  </commentList>
</comments>
</file>

<file path=xl/sharedStrings.xml><?xml version="1.0" encoding="utf-8"?>
<sst xmlns="http://schemas.openxmlformats.org/spreadsheetml/2006/main" count="450" uniqueCount="228">
  <si>
    <t>OBSERVACIONES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</si>
  <si>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</si>
  <si>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</si>
  <si>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</si>
  <si>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</si>
  <si>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</si>
  <si>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</si>
  <si>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</si>
  <si>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</si>
  <si>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</si>
  <si>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</si>
  <si>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</si>
  <si>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</si>
  <si>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</si>
  <si>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TIPO DE RECURSOS</t>
  </si>
  <si>
    <t>DETALLE</t>
  </si>
  <si>
    <t>EVIDENCIAS</t>
  </si>
  <si>
    <t>ETAPA</t>
  </si>
  <si>
    <t>PLANEAR</t>
  </si>
  <si>
    <t>ACTIVIDAD A DESARROLLAR</t>
  </si>
  <si>
    <t>HACER</t>
  </si>
  <si>
    <t>VERIFICAR</t>
  </si>
  <si>
    <t>ACTUAR</t>
  </si>
  <si>
    <t>% Cumplimiento actividad/fase</t>
  </si>
  <si>
    <t xml:space="preserve">1. OBJETIVO </t>
  </si>
  <si>
    <t xml:space="preserve">2. ALCANCE </t>
  </si>
  <si>
    <t>3. METAS</t>
  </si>
  <si>
    <t xml:space="preserve">RESPONSABLE (s) </t>
  </si>
  <si>
    <t>TOTAL PROGRAMADO</t>
  </si>
  <si>
    <t>TOTAL EJECUTADO</t>
  </si>
  <si>
    <t>P*</t>
  </si>
  <si>
    <t>E*</t>
  </si>
  <si>
    <t>5. RECURSOS ASIGNADOS</t>
  </si>
  <si>
    <t>6. MEDICIÒN Y SEGUIMIENTO</t>
  </si>
  <si>
    <t>VARIABLES</t>
  </si>
  <si>
    <t>FORMULA</t>
  </si>
  <si>
    <t>ACTIVIDADES EJECUTADAS</t>
  </si>
  <si>
    <t>RESULTADO</t>
  </si>
  <si>
    <t>META</t>
  </si>
  <si>
    <t>ANALISIS DE DATOS</t>
  </si>
  <si>
    <t>GRAFICA</t>
  </si>
  <si>
    <t>Cumplir el 90% de las actividades a desarrollar</t>
  </si>
  <si>
    <t>PLAZO DETERMINADO PARA SU CUMPLIMIENTO</t>
  </si>
  <si>
    <t>ACTIVIDADES A DESARROLLAR</t>
  </si>
  <si>
    <t>HUMANOS</t>
  </si>
  <si>
    <t xml:space="preserve"> TECNICOS</t>
  </si>
  <si>
    <t xml:space="preserve"> FINANCIEROS</t>
  </si>
  <si>
    <r>
      <t xml:space="preserve">Cuando se cumpla se marca con 1, en </t>
    </r>
    <r>
      <rPr>
        <b/>
        <sz val="11"/>
        <color indexed="10"/>
        <rFont val="Arial"/>
        <family val="2"/>
      </rPr>
      <t>P si es  (Planeado)</t>
    </r>
    <r>
      <rPr>
        <b/>
        <sz val="11"/>
        <color indexed="8"/>
        <rFont val="Arial"/>
        <family val="2"/>
      </rPr>
      <t xml:space="preserve"> o con </t>
    </r>
    <r>
      <rPr>
        <sz val="11"/>
        <color indexed="8"/>
        <rFont val="Arial"/>
        <family val="2"/>
      </rPr>
      <t xml:space="preserve">1 si es </t>
    </r>
    <r>
      <rPr>
        <b/>
        <sz val="11"/>
        <color indexed="21"/>
        <rFont val="Arial"/>
        <family val="2"/>
      </rPr>
      <t>(Ejecutado)</t>
    </r>
    <r>
      <rPr>
        <sz val="11"/>
        <color indexed="21"/>
        <rFont val="Arial"/>
        <family val="2"/>
      </rPr>
      <t xml:space="preserve"> </t>
    </r>
  </si>
  <si>
    <r>
      <rPr>
        <u/>
        <sz val="10"/>
        <rFont val="Arial"/>
        <family val="2"/>
      </rPr>
      <t>Actividades ejecutadas *100</t>
    </r>
    <r>
      <rPr>
        <sz val="10"/>
        <rFont val="Arial"/>
        <family val="2"/>
      </rPr>
      <t xml:space="preserve">
Actividades programadas</t>
    </r>
  </si>
  <si>
    <t>Empleador</t>
  </si>
  <si>
    <t>Registro de asistencia capacitación de las responsabilidades</t>
  </si>
  <si>
    <t>Área SST</t>
  </si>
  <si>
    <t>AÑO 2021</t>
  </si>
  <si>
    <t>Acta de definición y asignación de recursos, presupuesto.</t>
  </si>
  <si>
    <t>Empleador y área SST</t>
  </si>
  <si>
    <t>Actualizar plan anual de trabajo y cumplir con las actividades establecidas para el funcionamiento del SG-SST.</t>
  </si>
  <si>
    <t>Elaboración del plan de trabajo anual y cumplir con las actividades establecidas a la fecha.</t>
  </si>
  <si>
    <t>Matriz legal actualizada</t>
  </si>
  <si>
    <t>Área SST y empleador</t>
  </si>
  <si>
    <t>Soporte de la evaluación del cambio aplicado.</t>
  </si>
  <si>
    <t>Cuando se requiera</t>
  </si>
  <si>
    <t>Registro del perfil sociodemográfico de la población trabajadora</t>
  </si>
  <si>
    <t xml:space="preserve">Registro de fotográfico y de asistencia a las actividades de medicina preventiva establecida por la empresa. </t>
  </si>
  <si>
    <t>Aplicar las actividades a los trabajadores establecidas en el programa estilos de vida saludables.</t>
  </si>
  <si>
    <t>Registro de indicadores</t>
  </si>
  <si>
    <t>Medir la fecuencia de accidentalidad.</t>
  </si>
  <si>
    <t>Medir la severidad de los accidentes de trabajo.</t>
  </si>
  <si>
    <t>Medir la mortalidad de los accidentes de trabajo.</t>
  </si>
  <si>
    <t>Medir la prevalencia de la enfermedad laboral.</t>
  </si>
  <si>
    <t>Medir la incidencia de la enfermedad laboral.</t>
  </si>
  <si>
    <t>Medir el ausentismo de los trabajadores por causas médicas.</t>
  </si>
  <si>
    <t>Implementar las medidas de prevención y control con base a los resultados de la matriz IPEVR</t>
  </si>
  <si>
    <t>Evidencia física de las medidas implementadas</t>
  </si>
  <si>
    <t>Registro de la planificación de la auditoría e informe.</t>
  </si>
  <si>
    <t>Empleador, área SST y COPASST</t>
  </si>
  <si>
    <t>Registro de las acciones preventivas y/o correctivas.</t>
  </si>
  <si>
    <t>Realizar las acciones de mejora conforme a la revisión por la alta dirección.</t>
  </si>
  <si>
    <t>Registro de las acciones de mejora establecidas por la alta dirección.</t>
  </si>
  <si>
    <t>Definir e implementar las acciones preventivas y/o correctivas necesarias con base en los resultados de las investigaciones de los accidentes de trabajo y la determinación de sus causas básicas e inmediatas, así como de las enfermedades laborales.</t>
  </si>
  <si>
    <t>Registro de las acciones preventivas y/o correctivas implementadas, derivadas de la investigación de los incidentes, accidentes de trabajo y enfermedades laborales.</t>
  </si>
  <si>
    <t>Cada vez que ocurra un incidente, accidente o enfermedad laboral</t>
  </si>
  <si>
    <t xml:space="preserve">Se estableceran en el presupuesto </t>
  </si>
  <si>
    <t>Computador, impresora, y demás recursos técnicos que sean necesarios para cumplir con la implementación del SG-SST</t>
  </si>
  <si>
    <t>FIRMA DEL EMPLEADOR:___________________________________________________________                C.C.: _____________________________________</t>
  </si>
  <si>
    <t>Aplicación de la encuesta perfil sociodemográfico y tabularla</t>
  </si>
  <si>
    <t>COPASST/VIGÍA</t>
  </si>
  <si>
    <t>Empleador, área SST y COPASST/VIGÍA</t>
  </si>
  <si>
    <t>Área SST, empleador, COPASST/VIGÍA, CCL y brgadistas</t>
  </si>
  <si>
    <t>Área SST, empleador, COPASST/VIGÍA, CCL y brigadistas</t>
  </si>
  <si>
    <t>Área SST, COPASST/VIGÍA, CCL y brigadas de emergencias.</t>
  </si>
  <si>
    <t>Área SST, empleador</t>
  </si>
  <si>
    <t>Área SST, empleador, COPASST/VIGÍA y persona responsable del cambio.</t>
  </si>
  <si>
    <t>Empleador, área SST y COPASST /VIGÍA</t>
  </si>
  <si>
    <t>Empleador, área SST y COPASST / VIGÍA</t>
  </si>
  <si>
    <t>Brigada de emergencias</t>
  </si>
  <si>
    <t>Inspección preoperacional herramientas, máquinas y equipos</t>
  </si>
  <si>
    <t>COPAST/VIGÍA, brigada de emergencias, área SST</t>
  </si>
  <si>
    <t>Registro inspección realizada</t>
  </si>
  <si>
    <t>FIRMA RESPONSABLE DEL SG-SST: ___________________________________________________________                C.C.: _____________________________________</t>
  </si>
  <si>
    <t>PLAN ANUAL DE TRABAJO PARA EL 2021</t>
  </si>
  <si>
    <t>PLAZO PARA EL CUMPLIMIENTO Y EJECUCIÓN DEL PLAN DE DE TRABAJO ANUAL</t>
  </si>
  <si>
    <t>FECHA PLANEADA DEL CUMPLIMIENTO DEL PLAN DE TRABAJO ANUAL:</t>
  </si>
  <si>
    <t>LOGO EMPRESA</t>
  </si>
  <si>
    <t>CÓDIGO: XXXXXXXXXX                                     VESIÓN: XX                                                                      FECHA ELABORACIÓN:                                                XXXXXXX</t>
  </si>
  <si>
    <t>Inspección EPP mensual</t>
  </si>
  <si>
    <t>Inspección mensual instalaciones, orden y aseo</t>
  </si>
  <si>
    <t>Inspección mensual camilla de emergencias</t>
  </si>
  <si>
    <t>Inspección mensual extintores</t>
  </si>
  <si>
    <t>Inspección mensual botiquin</t>
  </si>
  <si>
    <t>CUMPLIMIENTO DEL PLAN DE TRABAJO ANUAL</t>
  </si>
  <si>
    <t>Definir y asignar los recursos fisicos, humanos y financieros, requeridos para la implementación, mantenimiento y continuidad del Sistema de Gestión de SST (presupuesto).</t>
  </si>
  <si>
    <t>Revisar la afiliación y pago oportuno de la seguridad social de todos los empleados, contratistas, sub contratistas y demás personal de la empresa.</t>
  </si>
  <si>
    <t>Realizar reunión mensual del COPASST/VIGÍA</t>
  </si>
  <si>
    <t xml:space="preserve"> Destinar las 4 horas semanales y los recursos para que el COPASST/VIGÍA realice sus actividades y responsabilidades establecidas en la Resolución 2013/1986 y el Decreto 1072/2015.</t>
  </si>
  <si>
    <t>Actas de conformación</t>
  </si>
  <si>
    <t>Actas de reuiniones mensuales</t>
  </si>
  <si>
    <t>Archivo de las afiliaciones y pagos a la seguridad social</t>
  </si>
  <si>
    <t>Acta de conformación del comité de convivencia laboral</t>
  </si>
  <si>
    <t>Reunión trimestral del comité de convivencia laboral</t>
  </si>
  <si>
    <t>Acta de reunión del comité de convivencia laboral</t>
  </si>
  <si>
    <t>Conformar el comité de convivencia laboral, comunicandole sus funciones</t>
  </si>
  <si>
    <t>Conformar el COPASST/designar VIGÏA, comunicandole sus funciones</t>
  </si>
  <si>
    <t>Realizar las actividades establecidas en la Resolución 652/2012 y la Resolución 1356/2012, para que el comité de convivencia laboral cumpla con sus funciones de prevenir el acoso laboral en la empresa</t>
  </si>
  <si>
    <t>Registro de actividades desarrolladas por el comité de convivencia laboral</t>
  </si>
  <si>
    <t>Comité de convivencia laboral</t>
  </si>
  <si>
    <t>Registro de actividades semanales por parte del COPASST/VIGÍA</t>
  </si>
  <si>
    <t>COPASST/VIGÏA</t>
  </si>
  <si>
    <t>Recibir las quejas de acoso laboral, darle su respectivo trámite y resolución</t>
  </si>
  <si>
    <t xml:space="preserve">Registro de quejas de acoso laboral y su respectiva resolución por parte del comité </t>
  </si>
  <si>
    <t>Actualizar el programa de capacitación anual, comunicarlo al COPASST/VIGÍA  y darle el respectivo cumplimiento</t>
  </si>
  <si>
    <t>Programa de capacitación anual actualizado, comunicado al COPASST/VIGÍA , dando cumplimiento a las fechas establecidas.</t>
  </si>
  <si>
    <t xml:space="preserve">Comunicar la política SST a todos los trabajadores, independientemente de su forma de contratación, y demás partes interesadas </t>
  </si>
  <si>
    <t>Registro de asistencia a la comunicación de la política</t>
  </si>
  <si>
    <t>Empleador, área SST, COPASST/VIGÍA</t>
  </si>
  <si>
    <t>Registro de la revisión y actualización en caso de requerirse</t>
  </si>
  <si>
    <t>Elaboración del los objetivos del SG-SST</t>
  </si>
  <si>
    <t>Comunicar los objetivos del SG-SST a todos los trabajadores</t>
  </si>
  <si>
    <t>Registro de la comunicación de los objetivos del SG-SST a todos los trabajadores</t>
  </si>
  <si>
    <t>Realizar la evaluación inicial/autoevaluación del SG-SST</t>
  </si>
  <si>
    <t>Registro de la evaluación inicial/autoevaluación del SG-SST</t>
  </si>
  <si>
    <t>Realizar trazabilidad a los cambios derivados de la gestión documental</t>
  </si>
  <si>
    <t>Registro de los cambios en el listado maestro de documentos</t>
  </si>
  <si>
    <t xml:space="preserve">Realizar la rendición de cuentas anual por parte de la alta dirección, responsable del SG-SST, COPASST/VIGÍA, comité de convivencia laboral y brigada de emergencias </t>
  </si>
  <si>
    <t>Empleador, área SST, COPASST/VIGÍA, CCL y brigadas de emergencias.</t>
  </si>
  <si>
    <t>Realizar informe mensual de las actividades realizadas para el funcionamiento del SG-SST, por parte del responsable del SG-SST, COPASST/VIGÍA, comité de convivencia laboral y brigadas de emergencias</t>
  </si>
  <si>
    <t>Informe mensual</t>
  </si>
  <si>
    <t>Informe de rendición de cuenta anual</t>
  </si>
  <si>
    <t>Cumplir con las comunicaciones de internas y externas del SG-SST establecidas</t>
  </si>
  <si>
    <t>Registro de las comunicaciones realizadas a los trabajadores, de los componenetes de SG-SST</t>
  </si>
  <si>
    <t>Cumplir con los requisitos establecidos para adquirir bienes y servicios.</t>
  </si>
  <si>
    <t xml:space="preserve">Cumplir con la evaluación inicial y/o periódica y/o final a los proveedores y contratistas </t>
  </si>
  <si>
    <t>Soporte de los requisitos para adquirir bienes y servicios</t>
  </si>
  <si>
    <t>Soporte de las evaluaciones realizadas a los proveedores  y contratistas</t>
  </si>
  <si>
    <t>Cumplir con las actividades establecidas en el programa de medicina preventiva</t>
  </si>
  <si>
    <t>Realizar las evaluaciones médico ocupacionales de pre ingreso, periódicos y egreso conforme a lo establecido en el profesiograma y los exámenes. También aplican exámenes médicos post incapacidad, por cambios en las condiciones de trabajo y los exámenes especiales para re ubicar o re adaptar a un trabajador</t>
  </si>
  <si>
    <t>Registro de los exámenes médico ocupacionales realizado a todos los trabajadores</t>
  </si>
  <si>
    <t>Solicitar acta a la IPS o médico que realiza los exámenes medico ocupacionales de la empresa,  en el cual indique que ellos almacenan la historia clinica laboral de los trabajadores</t>
  </si>
  <si>
    <t>Registro del acta</t>
  </si>
  <si>
    <t>Comunicar a los trabajadores el resultado de los exámenes médicos  a todos los trabajadores, priorizando cuando tenga alguna restricción o recomendación médica y hacer seguimiento.</t>
  </si>
  <si>
    <t>Registro de notificación de  los resultados de los exámenes médico ocupacionales</t>
  </si>
  <si>
    <t>Registro fotográfico y de asistencia a  las actividades realizadas del programa estilos de vida saludables.</t>
  </si>
  <si>
    <t>Cumplir con el programa de orden y aseo y programa sobre el manejo de residuos</t>
  </si>
  <si>
    <t>Todos los trabajadores que aplique</t>
  </si>
  <si>
    <t>Registro de las actividades realizadas para el cumplimiento de los programas</t>
  </si>
  <si>
    <t>Reportar todos los accidentes de trabajo y enfermedades laborales a la EPS del trabajador y ARL de la empresa, dentro de los 2 dias hábiles posteriores al evento. Se deberá reportar a la dirección territorial del ministerio de trabajo los accidentes de trabajo graves, mortales y enfermedades laborales en el mismo tiempo establecido</t>
  </si>
  <si>
    <t>Registro de los reportes a las entidades correspondientes en las fechas establecidas</t>
  </si>
  <si>
    <t>Investigar todos los incidentes de trabajo, accidentes de trabajo y enfermedades laborales dentro de los 15 días calendario posteriores al evento</t>
  </si>
  <si>
    <t>Equipo investigador</t>
  </si>
  <si>
    <t>Registro de las investigaciones realizadas</t>
  </si>
  <si>
    <t>Cuando aplique</t>
  </si>
  <si>
    <t>Medir los indicadores establecidos en el decreo 1072/2015 de acuerdo a su frecuencia y cumpliendo con las características de la ficha de indicadores</t>
  </si>
  <si>
    <t>Definir la metodología para la identificación de peligros, evaluación y valoración de riesgos</t>
  </si>
  <si>
    <t>Registro de la definición de la metodología para IPEVR</t>
  </si>
  <si>
    <t>Realizar la respectiva identificación de peligros, evaluación y valoración de riesgo con base a la metodología establecida, con la participación de los trabajadores</t>
  </si>
  <si>
    <t>Registro de la elaboración de la IPEVR</t>
  </si>
  <si>
    <t>Actualizar mínimo 1 vez al año la IPEVR o cuando ocurra un accidente de trabajo mortal o un evento catastrófico</t>
  </si>
  <si>
    <t>Registro de actualización de la IPEVR</t>
  </si>
  <si>
    <t>Informe de las mediciones ambientales con comunicación al COPASST/VIGÍA</t>
  </si>
  <si>
    <t>Realizar mediciones ambientales de iluminación y comunicar el resultado de la medición al COPAST/VIGÍA</t>
  </si>
  <si>
    <t>Trabajadores que las utilicen</t>
  </si>
  <si>
    <t>Registro de los mantenimientos realizados en la hoja de vida de cada máquina, equipos y/o herramienta</t>
  </si>
  <si>
    <t>Implementar los mantenimientos preventivos a las máquinas, equipos y herramientas existentes en la empresa.</t>
  </si>
  <si>
    <t>Realizar la entrega de los EPP a todos los trabajadores que aplique y capacitarlos en su uso adecuado</t>
  </si>
  <si>
    <t>Registro de entrega de los EPP asignados y registro de asistencia a la capacitación</t>
  </si>
  <si>
    <t>Revisión del plan de prevención, preparación y respuesta ante emergencias, constatando la existencia de los requisitos establecidos en el artículo 2.2.4.6.25 del Decreto 1072/2015</t>
  </si>
  <si>
    <t xml:space="preserve">Empleador </t>
  </si>
  <si>
    <t>Registro acta de conformación de la brigada</t>
  </si>
  <si>
    <t>Capacitar a la brigada de emergencias de forma anual como mínimo en primeros auxilios, prevención y control de incendios, evacuación y rescate</t>
  </si>
  <si>
    <t>Registro de las capacitaciones realizadas a la brigada por parte de una entidad competente</t>
  </si>
  <si>
    <t>Condormar la brigada de emergencias, comunicandole sus funciones</t>
  </si>
  <si>
    <t>Dotar a la briagada de emergencias para que pueda cumplir satisfactoriamente sus funciones</t>
  </si>
  <si>
    <t>Registro fogográfico de los recursos asignados</t>
  </si>
  <si>
    <t>Realizar mínimo 1 simulacro al año</t>
  </si>
  <si>
    <t>Empleador, área SST, brigadas de emergenciias</t>
  </si>
  <si>
    <t>Informe de simulacro</t>
  </si>
  <si>
    <t>Área SST y brigadas de emergencias</t>
  </si>
  <si>
    <t>Registro de la revisión</t>
  </si>
  <si>
    <t>Reunirse bimensualmente la brigada de emergencias</t>
  </si>
  <si>
    <t>Acta de reunión</t>
  </si>
  <si>
    <t>Realizar mínimo una auditoría del SG-SST al año, con la planificación del COPASST/VIGÍA</t>
  </si>
  <si>
    <t>Revisar el SG-SST por parte de la alta dirección, comunicando los resultados al responsable del SG-SST  y al COPASST/VIGÍA</t>
  </si>
  <si>
    <t>Registro de la revisión por parte de la alta dirección.con la comunicación de los resultados al responsable del SG-SSt y COPASST/VIGÍA</t>
  </si>
  <si>
    <t>Definir e implementar las acciones preventivas y/o correctivas necesarias con base a los resultados de la supervisión, inspecciones, medición de los indicadores, entre otros y las recomendaciones del COPASST.</t>
  </si>
  <si>
    <t>Registro del plan de mejoramiento</t>
  </si>
  <si>
    <t xml:space="preserve">Colaborar con los funcionarios de entidades gubernamentales de seguridad y salud en el trabajo (Ministerio de trabajo)en las actividades que éstos adelanten en la empresa y recibir por derecho propio los informes correspondientes.
</t>
  </si>
  <si>
    <t>COPASST/VIGÍA, empleador y área SST</t>
  </si>
  <si>
    <t>Registro de los informes recibidos por el COPASST de las visitas de entidades gubernamentales</t>
  </si>
  <si>
    <t xml:space="preserve">Estudiar y considerar las sugerencias que presenten los trabajadores, en materia de seguridad y salud en el trabajo.
</t>
  </si>
  <si>
    <t>Registro del estuidio de las sugerencias presentadas por los trabajadores</t>
  </si>
  <si>
    <t>COPASST/VIGÍA y empleador</t>
  </si>
  <si>
    <t>Registro de la comunicación de las etapas del SG-SST al COPASST/VIGÍA</t>
  </si>
  <si>
    <t xml:space="preserve">Asignar responsabilidades del SG-SST a todos los trabajadores y comunicarselas </t>
  </si>
  <si>
    <t>Revisar la política SST; en la cual se corrobore el compromiso de la empresa, que sea específica de acuerdo a las características de la organización, estar fechada, firmada por el representante legal, estar publicada y actualizarla en caso de requerirse</t>
  </si>
  <si>
    <t>Actuializar los objetitvos del SG-SST de conformidad con la política SST, el resultado de la evaluación/atuoevaluación del SG-SSt y auditorías que realicen.</t>
  </si>
  <si>
    <t xml:space="preserve">A medida que sean emitidas nuevas disposiciones
aplicables a la empresa. </t>
  </si>
  <si>
    <t>Evaluar los cambios internos o externos que se generen en la empresa y comunicarselos al COPASST/VIGÍA</t>
  </si>
  <si>
    <t>Remitir al médico laboral los perfiles de cargos para realizar las evaluaciones médico ocupacionales y así crear el profesiograma</t>
  </si>
  <si>
    <t>Registro de la comunicación de los perfiles del cargo al la IPS o médico ocupacional encargado de realizar las evaluaciones médico ocupacionales y registro del profesiograma</t>
  </si>
  <si>
    <t>Recibir-el COPASST/VIGÍA- por parte del empleador información sobre el desarrollo de todas las etapas del Sistema de Gestión de Seguridad de la Salud en el Trabajo (SG-SST</t>
  </si>
  <si>
    <t>Solicitar periódicamente a la empresa informes sobre accidentalidad y enfermedades laborales</t>
  </si>
  <si>
    <t>COPASST/VIGÍA y área SST</t>
  </si>
  <si>
    <t>Registro de la comunicación de los informes de accidentalidad y enfermedades laborales</t>
  </si>
  <si>
    <t>Inspección osteomuscular</t>
  </si>
  <si>
    <t xml:space="preserve">Elaborar del plan de mejoramiento </t>
  </si>
  <si>
    <t>Actualizar la matriz legal de riesgos laborales de acuerdo a la normatividad actual nacional vigente que aplique a la empresa</t>
  </si>
  <si>
    <t>Definir las actividades a desarrollar para dar cumplimiento al Sistema de Gestión para la Seguridad y Salud en el Trabajo de la empresa XXXXXXXXXXXXXXXXXXXXXX</t>
  </si>
  <si>
    <t>El presente plan aplica a todos los trabajadores que tengan responsabilidades directas en el SG-SST, establecidas en el presente plan.</t>
  </si>
  <si>
    <t>Se asignará el tiempo, espacio y recursos para que la alta dirección, responsable del SG-SST, COPASST/VIGÏA, comité de convivencia laboral, brigadas de emergencias y demás partes interesadas puedan desarrollar sus funciones.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</si>
</sst>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€-2]* #,##0.00_-;\-[$€-2]* #,##0.00_-;_-[$€-2]* &quot;-&quot;??_-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11"/>
      <color indexed="10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21"/>
      <name val="Arial"/>
      <family val="2"/>
    </font>
    <font>
      <b/>
      <sz val="11"/>
      <color indexed="8"/>
      <name val="Arial"/>
      <family val="2"/>
    </font>
    <font>
      <b/>
      <sz val="11"/>
      <color indexed="2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b/>
      <sz val="10"/>
      <color theme="0" tint="-4.9989318521683403E-2"/>
      <name val="Arial"/>
      <family val="2"/>
    </font>
    <font>
      <sz val="10"/>
      <color theme="2" tint="-0.89999084444715716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0" tint="-4.9989318521683403E-2"/>
      <name val="Arial"/>
      <family val="2"/>
    </font>
    <font>
      <b/>
      <sz val="12"/>
      <color theme="1"/>
      <name val="Arial"/>
      <family val="2"/>
    </font>
    <font>
      <b/>
      <u/>
      <sz val="10"/>
      <color indexed="81"/>
      <name val="Tahoma"/>
      <family val="2"/>
    </font>
    <font>
      <b/>
      <sz val="14"/>
      <color rgb="FF00B050"/>
      <name val="Arial"/>
      <family val="2"/>
    </font>
    <font>
      <b/>
      <sz val="12"/>
      <color rgb="FFFFC000"/>
      <name val="Arial"/>
      <family val="2"/>
    </font>
    <font>
      <u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0" borderId="0" applyNumberFormat="0" applyBorder="0" applyAlignment="0" applyProtection="0"/>
    <xf numFmtId="0" fontId="7" fillId="7" borderId="1" applyNumberFormat="0" applyAlignment="0" applyProtection="0"/>
    <xf numFmtId="164" fontId="8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21" borderId="0" applyNumberFormat="0" applyBorder="0" applyAlignment="0" applyProtection="0"/>
    <xf numFmtId="17" fontId="11" fillId="0" borderId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16" borderId="3" applyNumberFormat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" fillId="0" borderId="0"/>
  </cellStyleXfs>
  <cellXfs count="114">
    <xf numFmtId="0" fontId="0" fillId="0" borderId="0" xfId="0"/>
    <xf numFmtId="0" fontId="15" fillId="0" borderId="0" xfId="0" applyFont="1"/>
    <xf numFmtId="0" fontId="15" fillId="0" borderId="0" xfId="0" applyFont="1" applyFill="1"/>
    <xf numFmtId="0" fontId="18" fillId="0" borderId="0" xfId="0" applyFont="1" applyBorder="1"/>
    <xf numFmtId="0" fontId="18" fillId="0" borderId="0" xfId="0" applyFont="1"/>
    <xf numFmtId="0" fontId="11" fillId="0" borderId="0" xfId="0" applyFont="1"/>
    <xf numFmtId="0" fontId="18" fillId="0" borderId="0" xfId="0" applyFont="1" applyAlignment="1">
      <alignment horizontal="center"/>
    </xf>
    <xf numFmtId="1" fontId="29" fillId="0" borderId="5" xfId="31" applyNumberFormat="1" applyFont="1" applyFill="1" applyBorder="1" applyAlignment="1" applyProtection="1">
      <alignment horizontal="center" vertical="center"/>
      <protection locked="0"/>
    </xf>
    <xf numFmtId="0" fontId="16" fillId="23" borderId="5" xfId="0" applyFont="1" applyFill="1" applyBorder="1" applyAlignment="1">
      <alignment horizontal="center" vertical="center" wrapText="1"/>
    </xf>
    <xf numFmtId="0" fontId="16" fillId="24" borderId="5" xfId="0" applyFont="1" applyFill="1" applyBorder="1" applyAlignment="1">
      <alignment horizontal="center" vertical="center" wrapText="1"/>
    </xf>
    <xf numFmtId="1" fontId="16" fillId="0" borderId="14" xfId="0" applyNumberFormat="1" applyFont="1" applyBorder="1" applyAlignment="1">
      <alignment horizontal="center" vertical="center" wrapText="1"/>
    </xf>
    <xf numFmtId="1" fontId="16" fillId="0" borderId="14" xfId="0" applyNumberFormat="1" applyFont="1" applyFill="1" applyBorder="1" applyAlignment="1">
      <alignment horizontal="center" vertical="center" wrapText="1"/>
    </xf>
    <xf numFmtId="9" fontId="21" fillId="24" borderId="5" xfId="0" applyNumberFormat="1" applyFont="1" applyFill="1" applyBorder="1" applyAlignment="1">
      <alignment horizontal="center" vertical="center"/>
    </xf>
    <xf numFmtId="0" fontId="16" fillId="22" borderId="5" xfId="0" applyFont="1" applyFill="1" applyBorder="1" applyAlignment="1">
      <alignment horizontal="center" vertical="center" wrapText="1"/>
    </xf>
    <xf numFmtId="0" fontId="15" fillId="27" borderId="0" xfId="0" applyFont="1" applyFill="1"/>
    <xf numFmtId="0" fontId="21" fillId="0" borderId="5" xfId="0" applyFont="1" applyFill="1" applyBorder="1" applyAlignment="1">
      <alignment horizontal="center" vertical="center" wrapText="1"/>
    </xf>
    <xf numFmtId="9" fontId="29" fillId="0" borderId="5" xfId="32" applyFont="1" applyFill="1" applyBorder="1" applyAlignment="1" applyProtection="1">
      <alignment horizontal="center" vertical="center"/>
      <protection locked="0"/>
    </xf>
    <xf numFmtId="17" fontId="35" fillId="0" borderId="5" xfId="31" applyFont="1" applyFill="1" applyBorder="1" applyAlignment="1" applyProtection="1">
      <alignment horizontal="center" vertical="center" wrapText="1"/>
      <protection locked="0"/>
    </xf>
    <xf numFmtId="17" fontId="35" fillId="27" borderId="5" xfId="31" applyFont="1" applyFill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17" fillId="27" borderId="30" xfId="0" applyFont="1" applyFill="1" applyBorder="1" applyAlignment="1">
      <alignment horizontal="center" vertical="center" wrapText="1"/>
    </xf>
    <xf numFmtId="0" fontId="17" fillId="27" borderId="31" xfId="0" applyFont="1" applyFill="1" applyBorder="1" applyAlignment="1">
      <alignment horizontal="center" vertical="center" wrapText="1"/>
    </xf>
    <xf numFmtId="0" fontId="17" fillId="27" borderId="32" xfId="0" applyFont="1" applyFill="1" applyBorder="1" applyAlignment="1">
      <alignment horizontal="center" vertical="center" wrapText="1"/>
    </xf>
    <xf numFmtId="0" fontId="17" fillId="27" borderId="33" xfId="0" applyFont="1" applyFill="1" applyBorder="1" applyAlignment="1">
      <alignment horizontal="center" vertical="center" wrapText="1"/>
    </xf>
    <xf numFmtId="0" fontId="17" fillId="27" borderId="34" xfId="0" applyFont="1" applyFill="1" applyBorder="1" applyAlignment="1">
      <alignment horizontal="center" vertical="center" wrapText="1"/>
    </xf>
    <xf numFmtId="0" fontId="17" fillId="27" borderId="35" xfId="0" applyFont="1" applyFill="1" applyBorder="1" applyAlignment="1">
      <alignment horizontal="center" vertical="center" wrapText="1"/>
    </xf>
    <xf numFmtId="0" fontId="46" fillId="27" borderId="8" xfId="0" applyFont="1" applyFill="1" applyBorder="1" applyAlignment="1">
      <alignment horizontal="left" vertical="top" wrapText="1"/>
    </xf>
    <xf numFmtId="0" fontId="46" fillId="27" borderId="14" xfId="0" applyFont="1" applyFill="1" applyBorder="1" applyAlignment="1">
      <alignment horizontal="left" vertical="top" wrapText="1"/>
    </xf>
    <xf numFmtId="9" fontId="36" fillId="0" borderId="5" xfId="32" applyFont="1" applyFill="1" applyBorder="1" applyAlignment="1" applyProtection="1">
      <alignment horizontal="center" vertical="center"/>
      <protection locked="0"/>
    </xf>
    <xf numFmtId="1" fontId="29" fillId="0" borderId="5" xfId="31" applyNumberFormat="1" applyFont="1" applyFill="1" applyBorder="1" applyAlignment="1" applyProtection="1">
      <alignment horizontal="center" vertical="center" wrapText="1"/>
      <protection locked="0"/>
    </xf>
    <xf numFmtId="17" fontId="32" fillId="25" borderId="5" xfId="31" applyFont="1" applyFill="1" applyBorder="1" applyAlignment="1" applyProtection="1">
      <alignment horizontal="center" vertical="center" wrapText="1"/>
    </xf>
    <xf numFmtId="17" fontId="33" fillId="25" borderId="5" xfId="31" applyFont="1" applyFill="1" applyBorder="1" applyAlignment="1" applyProtection="1">
      <alignment horizontal="center" vertical="center"/>
    </xf>
    <xf numFmtId="17" fontId="34" fillId="25" borderId="5" xfId="31" applyFont="1" applyFill="1" applyBorder="1" applyAlignment="1" applyProtection="1">
      <alignment horizontal="center" vertical="center"/>
    </xf>
    <xf numFmtId="0" fontId="32" fillId="25" borderId="5" xfId="0" applyFont="1" applyFill="1" applyBorder="1" applyAlignment="1">
      <alignment horizontal="center" vertical="center" wrapText="1"/>
    </xf>
    <xf numFmtId="0" fontId="20" fillId="26" borderId="5" xfId="0" applyFont="1" applyFill="1" applyBorder="1" applyAlignment="1">
      <alignment horizontal="center" vertical="center" wrapText="1"/>
    </xf>
    <xf numFmtId="17" fontId="35" fillId="0" borderId="5" xfId="31" applyFont="1" applyFill="1" applyBorder="1" applyAlignment="1" applyProtection="1">
      <alignment horizontal="left" vertical="center" wrapText="1"/>
      <protection locked="0"/>
    </xf>
    <xf numFmtId="0" fontId="16" fillId="27" borderId="5" xfId="0" applyFont="1" applyFill="1" applyBorder="1" applyAlignment="1">
      <alignment horizontal="center" vertical="center" textRotation="90" wrapText="1"/>
    </xf>
    <xf numFmtId="1" fontId="29" fillId="0" borderId="5" xfId="32" applyNumberFormat="1" applyFont="1" applyFill="1" applyBorder="1" applyAlignment="1" applyProtection="1">
      <alignment horizontal="center" vertical="center"/>
      <protection locked="0"/>
    </xf>
    <xf numFmtId="0" fontId="31" fillId="25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right" vertical="center" wrapText="1"/>
    </xf>
    <xf numFmtId="0" fontId="21" fillId="0" borderId="5" xfId="0" applyFont="1" applyBorder="1" applyAlignment="1">
      <alignment horizontal="right" vertical="center"/>
    </xf>
    <xf numFmtId="0" fontId="30" fillId="25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/>
    </xf>
    <xf numFmtId="17" fontId="32" fillId="25" borderId="30" xfId="31" applyFont="1" applyFill="1" applyBorder="1" applyAlignment="1" applyProtection="1">
      <alignment horizontal="center" vertical="center" wrapText="1"/>
    </xf>
    <xf numFmtId="17" fontId="32" fillId="25" borderId="34" xfId="31" applyFont="1" applyFill="1" applyBorder="1" applyAlignment="1" applyProtection="1">
      <alignment horizontal="center" vertical="center" wrapText="1"/>
    </xf>
    <xf numFmtId="17" fontId="32" fillId="25" borderId="31" xfId="31" applyFont="1" applyFill="1" applyBorder="1" applyAlignment="1" applyProtection="1">
      <alignment horizontal="center" vertical="center" wrapText="1"/>
    </xf>
    <xf numFmtId="17" fontId="32" fillId="25" borderId="36" xfId="31" applyFont="1" applyFill="1" applyBorder="1" applyAlignment="1" applyProtection="1">
      <alignment horizontal="center" vertical="center" wrapText="1"/>
    </xf>
    <xf numFmtId="17" fontId="32" fillId="25" borderId="0" xfId="31" applyFont="1" applyFill="1" applyBorder="1" applyAlignment="1" applyProtection="1">
      <alignment horizontal="center" vertical="center" wrapText="1"/>
    </xf>
    <xf numFmtId="17" fontId="32" fillId="25" borderId="37" xfId="31" applyFont="1" applyFill="1" applyBorder="1" applyAlignment="1" applyProtection="1">
      <alignment horizontal="center" vertical="center" wrapText="1"/>
    </xf>
    <xf numFmtId="17" fontId="32" fillId="25" borderId="32" xfId="31" applyFont="1" applyFill="1" applyBorder="1" applyAlignment="1" applyProtection="1">
      <alignment horizontal="center" vertical="center" wrapText="1"/>
    </xf>
    <xf numFmtId="17" fontId="32" fillId="25" borderId="35" xfId="31" applyFont="1" applyFill="1" applyBorder="1" applyAlignment="1" applyProtection="1">
      <alignment horizontal="center" vertical="center" wrapText="1"/>
    </xf>
    <xf numFmtId="17" fontId="32" fillId="25" borderId="33" xfId="31" applyFont="1" applyFill="1" applyBorder="1" applyAlignment="1" applyProtection="1">
      <alignment horizontal="center" vertical="center" wrapText="1"/>
    </xf>
    <xf numFmtId="0" fontId="11" fillId="0" borderId="5" xfId="0" applyFont="1" applyBorder="1" applyAlignment="1">
      <alignment horizontal="center" wrapText="1"/>
    </xf>
    <xf numFmtId="0" fontId="38" fillId="25" borderId="5" xfId="0" applyFont="1" applyFill="1" applyBorder="1" applyAlignment="1">
      <alignment horizontal="center" vertical="center"/>
    </xf>
    <xf numFmtId="0" fontId="33" fillId="25" borderId="5" xfId="0" applyFont="1" applyFill="1" applyBorder="1" applyAlignment="1">
      <alignment horizontal="center" vertical="center"/>
    </xf>
    <xf numFmtId="0" fontId="16" fillId="25" borderId="5" xfId="0" applyFont="1" applyFill="1" applyBorder="1" applyAlignment="1">
      <alignment horizontal="center" vertical="center"/>
    </xf>
    <xf numFmtId="0" fontId="21" fillId="27" borderId="8" xfId="0" applyFont="1" applyFill="1" applyBorder="1" applyAlignment="1">
      <alignment horizontal="center" vertical="center" wrapText="1"/>
    </xf>
    <xf numFmtId="0" fontId="21" fillId="27" borderId="14" xfId="0" applyFont="1" applyFill="1" applyBorder="1" applyAlignment="1">
      <alignment horizontal="center" vertical="center" wrapText="1"/>
    </xf>
    <xf numFmtId="9" fontId="29" fillId="27" borderId="8" xfId="32" applyFont="1" applyFill="1" applyBorder="1" applyAlignment="1" applyProtection="1">
      <alignment horizontal="center" vertical="center"/>
      <protection locked="0"/>
    </xf>
    <xf numFmtId="9" fontId="29" fillId="27" borderId="14" xfId="32" applyFont="1" applyFill="1" applyBorder="1" applyAlignment="1" applyProtection="1">
      <alignment horizontal="center" vertical="center"/>
      <protection locked="0"/>
    </xf>
    <xf numFmtId="0" fontId="23" fillId="27" borderId="5" xfId="0" applyFont="1" applyFill="1" applyBorder="1" applyAlignment="1">
      <alignment horizontal="center" vertical="center" textRotation="90" wrapText="1"/>
    </xf>
    <xf numFmtId="17" fontId="32" fillId="25" borderId="5" xfId="31" applyFont="1" applyFill="1" applyBorder="1" applyAlignment="1" applyProtection="1">
      <alignment horizontal="center" vertical="center" textRotation="90" wrapText="1"/>
    </xf>
    <xf numFmtId="0" fontId="37" fillId="24" borderId="20" xfId="0" applyFont="1" applyFill="1" applyBorder="1" applyAlignment="1">
      <alignment horizontal="center" vertical="center"/>
    </xf>
    <xf numFmtId="0" fontId="37" fillId="24" borderId="21" xfId="0" applyFont="1" applyFill="1" applyBorder="1" applyAlignment="1">
      <alignment horizontal="center" vertical="center"/>
    </xf>
    <xf numFmtId="0" fontId="37" fillId="24" borderId="22" xfId="0" applyFont="1" applyFill="1" applyBorder="1" applyAlignment="1">
      <alignment horizontal="center" vertical="center"/>
    </xf>
    <xf numFmtId="0" fontId="16" fillId="24" borderId="9" xfId="0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16" fillId="24" borderId="5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9" fontId="21" fillId="24" borderId="9" xfId="0" applyNumberFormat="1" applyFont="1" applyFill="1" applyBorder="1" applyAlignment="1">
      <alignment horizontal="center" vertical="center" wrapText="1"/>
    </xf>
    <xf numFmtId="9" fontId="21" fillId="24" borderId="15" xfId="0" applyNumberFormat="1" applyFont="1" applyFill="1" applyBorder="1" applyAlignment="1">
      <alignment horizontal="center" vertical="center" wrapText="1"/>
    </xf>
    <xf numFmtId="9" fontId="21" fillId="24" borderId="5" xfId="0" applyNumberFormat="1" applyFont="1" applyFill="1" applyBorder="1" applyAlignment="1">
      <alignment horizontal="center" vertical="center"/>
    </xf>
    <xf numFmtId="0" fontId="21" fillId="24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1" fontId="21" fillId="0" borderId="9" xfId="0" applyNumberFormat="1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1" fontId="21" fillId="0" borderId="9" xfId="0" applyNumberFormat="1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16" fillId="24" borderId="27" xfId="0" applyFont="1" applyFill="1" applyBorder="1" applyAlignment="1">
      <alignment horizontal="center" vertical="center" wrapText="1"/>
    </xf>
    <xf numFmtId="0" fontId="16" fillId="24" borderId="16" xfId="0" applyFont="1" applyFill="1" applyBorder="1" applyAlignment="1">
      <alignment horizontal="center" vertical="center" wrapText="1"/>
    </xf>
    <xf numFmtId="0" fontId="16" fillId="24" borderId="5" xfId="0" applyFont="1" applyFill="1" applyBorder="1" applyAlignment="1">
      <alignment horizontal="center" vertical="center" wrapText="1"/>
    </xf>
    <xf numFmtId="0" fontId="42" fillId="27" borderId="5" xfId="0" applyFont="1" applyFill="1" applyBorder="1" applyAlignment="1">
      <alignment horizontal="center" vertical="center" textRotation="90" wrapText="1"/>
    </xf>
    <xf numFmtId="0" fontId="39" fillId="27" borderId="5" xfId="0" applyFont="1" applyFill="1" applyBorder="1" applyAlignment="1">
      <alignment horizontal="center" vertical="center" textRotation="90" wrapText="1"/>
    </xf>
    <xf numFmtId="0" fontId="41" fillId="27" borderId="5" xfId="0" applyFont="1" applyFill="1" applyBorder="1" applyAlignment="1">
      <alignment horizontal="center" vertical="center" textRotation="90" wrapText="1"/>
    </xf>
    <xf numFmtId="0" fontId="30" fillId="25" borderId="28" xfId="0" applyFont="1" applyFill="1" applyBorder="1" applyAlignment="1">
      <alignment horizontal="center" vertical="center"/>
    </xf>
    <xf numFmtId="0" fontId="30" fillId="25" borderId="0" xfId="0" applyFont="1" applyFill="1" applyBorder="1" applyAlignment="1">
      <alignment horizontal="center" vertical="center"/>
    </xf>
    <xf numFmtId="0" fontId="30" fillId="25" borderId="29" xfId="0" applyFont="1" applyFill="1" applyBorder="1" applyAlignment="1">
      <alignment horizontal="center" vertical="center"/>
    </xf>
    <xf numFmtId="0" fontId="37" fillId="24" borderId="23" xfId="0" applyFont="1" applyFill="1" applyBorder="1" applyAlignment="1">
      <alignment horizontal="center" vertical="center"/>
    </xf>
    <xf numFmtId="0" fontId="37" fillId="24" borderId="19" xfId="0" applyFont="1" applyFill="1" applyBorder="1" applyAlignment="1">
      <alignment horizontal="center" vertical="center"/>
    </xf>
    <xf numFmtId="0" fontId="37" fillId="24" borderId="12" xfId="0" applyFont="1" applyFill="1" applyBorder="1" applyAlignment="1">
      <alignment horizontal="center" vertical="center"/>
    </xf>
    <xf numFmtId="0" fontId="30" fillId="0" borderId="11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13" xfId="0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horizontal="center" vertical="center"/>
    </xf>
    <xf numFmtId="0" fontId="30" fillId="0" borderId="25" xfId="0" applyFont="1" applyFill="1" applyBorder="1" applyAlignment="1">
      <alignment horizontal="center" vertical="center"/>
    </xf>
    <xf numFmtId="0" fontId="30" fillId="0" borderId="18" xfId="0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center" vertical="center"/>
    </xf>
    <xf numFmtId="0" fontId="30" fillId="0" borderId="26" xfId="0" applyFont="1" applyFill="1" applyBorder="1" applyAlignment="1">
      <alignment horizontal="center" vertical="center"/>
    </xf>
    <xf numFmtId="0" fontId="16" fillId="24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6" fillId="24" borderId="9" xfId="0" applyFont="1" applyFill="1" applyBorder="1" applyAlignment="1">
      <alignment horizontal="center" vertical="center" wrapText="1"/>
    </xf>
  </cellXfs>
  <cellStyles count="3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elda vinculada" xfId="19" builtinId="24" customBuiltin="1"/>
    <cellStyle name="Encabezado 4" xfId="20" builtinId="19" customBuiltin="1"/>
    <cellStyle name="Énfasis1" xfId="21" builtinId="29" customBuiltin="1"/>
    <cellStyle name="Énfasis2" xfId="22" builtinId="33" customBuiltin="1"/>
    <cellStyle name="Énfasis3" xfId="23" builtinId="37" customBuiltin="1"/>
    <cellStyle name="Énfasis4" xfId="24" builtinId="41" customBuiltin="1"/>
    <cellStyle name="Énfasis5" xfId="25" builtinId="45" customBuiltin="1"/>
    <cellStyle name="Énfasis6" xfId="26" builtinId="49" customBuiltin="1"/>
    <cellStyle name="Entrada" xfId="27" builtinId="20" customBuiltin="1"/>
    <cellStyle name="Euro" xfId="28"/>
    <cellStyle name="Incorrecto" xfId="29" builtinId="27" customBuiltin="1"/>
    <cellStyle name="Neutral" xfId="30" builtinId="28" customBuiltin="1"/>
    <cellStyle name="Normal" xfId="0" builtinId="0"/>
    <cellStyle name="Normal 2" xfId="37"/>
    <cellStyle name="Normal 3" xfId="31"/>
    <cellStyle name="Porcentaje" xfId="32" builtinId="5"/>
    <cellStyle name="Porcentual 2" xfId="33"/>
    <cellStyle name="Salida" xfId="34" builtinId="21" customBuiltin="1"/>
    <cellStyle name="Título" xfId="35" builtinId="15" customBuiltin="1"/>
    <cellStyle name="Total" xfId="36" builtinId="25" customBuiltin="1"/>
  </cellStyles>
  <dxfs count="32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'1'!$C$172:$D$172</c:f>
              <c:strCache>
                <c:ptCount val="2"/>
                <c:pt idx="0">
                  <c:v>RESULTADO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'1'!$E$169:$R$169</c:f>
              <c:strCache>
                <c:ptCount val="1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TOTAL</c:v>
                </c:pt>
              </c:strCache>
            </c:strRef>
          </c:cat>
          <c:val>
            <c:numRef>
              <c:f>'1'!$E$172:$R$172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DA-42DA-8BAD-CB011576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92432"/>
        <c:axId val="209191256"/>
      </c:barChart>
      <c:lineChart>
        <c:grouping val="standard"/>
        <c:varyColors val="0"/>
        <c:ser>
          <c:idx val="1"/>
          <c:order val="1"/>
          <c:tx>
            <c:strRef>
              <c:f>'1'!$C$173:$D$173</c:f>
              <c:strCache>
                <c:ptCount val="2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'1'!$E$169:$R$169</c:f>
              <c:strCache>
                <c:ptCount val="1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TOTAL</c:v>
                </c:pt>
              </c:strCache>
            </c:strRef>
          </c:cat>
          <c:val>
            <c:numRef>
              <c:f>'1'!$E$173:$R$173</c:f>
              <c:numCache>
                <c:formatCode>0%</c:formatCode>
                <c:ptCount val="1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EDA-42DA-8BAD-CB011576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92432"/>
        <c:axId val="209191256"/>
      </c:lineChart>
      <c:catAx>
        <c:axId val="20919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91256"/>
        <c:crosses val="autoZero"/>
        <c:auto val="1"/>
        <c:lblAlgn val="ctr"/>
        <c:lblOffset val="100"/>
        <c:noMultiLvlLbl val="0"/>
      </c:catAx>
      <c:valAx>
        <c:axId val="20919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924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1566011380916664"/>
          <c:y val="0.88708767884869877"/>
          <c:w val="0.3634070217803011"/>
          <c:h val="7.764958462070838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394030</xdr:colOff>
      <xdr:row>168</xdr:row>
      <xdr:rowOff>114300</xdr:rowOff>
    </xdr:from>
    <xdr:to>
      <xdr:col>20</xdr:col>
      <xdr:colOff>2260930</xdr:colOff>
      <xdr:row>180</xdr:row>
      <xdr:rowOff>6350</xdr:rowOff>
    </xdr:to>
    <xdr:graphicFrame macro="">
      <xdr:nvGraphicFramePr>
        <xdr:cNvPr id="1030" name="Gráfico 1">
          <a:extLst>
            <a:ext uri="{FF2B5EF4-FFF2-40B4-BE49-F238E27FC236}">
              <a16:creationId xmlns:a16="http://schemas.microsoft.com/office/drawing/2014/main" xmlns="" id="{A23D690D-3614-4B89-AEC6-F9601E89F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152400</xdr:colOff>
      <xdr:row>15</xdr:row>
      <xdr:rowOff>457200</xdr:rowOff>
    </xdr:from>
    <xdr:to>
      <xdr:col>8</xdr:col>
      <xdr:colOff>180975</xdr:colOff>
      <xdr:row>16</xdr:row>
      <xdr:rowOff>257175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xmlns="" id="{822FF3E7-E1B9-4670-8D1F-7BA75E80E870}"/>
            </a:ext>
          </a:extLst>
        </xdr:cNvPr>
        <xdr:cNvSpPr txBox="1">
          <a:spLocks noChangeArrowheads="1"/>
        </xdr:cNvSpPr>
      </xdr:nvSpPr>
      <xdr:spPr bwMode="auto">
        <a:xfrm>
          <a:off x="5962650" y="6362700"/>
          <a:ext cx="13716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W181"/>
  <sheetViews>
    <sheetView showGridLines="0" tabSelected="1" zoomScale="77" zoomScaleNormal="77" zoomScaleSheetLayoutView="55" zoomScalePageLayoutView="70" workbookViewId="0">
      <selection activeCell="A3" sqref="A3:U3"/>
    </sheetView>
  </sheetViews>
  <sheetFormatPr baseColWidth="10" defaultColWidth="11.42578125" defaultRowHeight="12" x14ac:dyDescent="0.2"/>
  <cols>
    <col min="1" max="1" width="12.28515625" style="4" customWidth="1"/>
    <col min="2" max="2" width="25.7109375" style="4" customWidth="1"/>
    <col min="3" max="3" width="36.7109375" style="4" customWidth="1"/>
    <col min="4" max="4" width="5.7109375" style="4" customWidth="1"/>
    <col min="5" max="16" width="6.7109375" style="4" customWidth="1"/>
    <col min="17" max="18" width="9.28515625" style="4" customWidth="1"/>
    <col min="19" max="19" width="21.5703125" style="6" customWidth="1"/>
    <col min="20" max="20" width="25.42578125" style="6" customWidth="1"/>
    <col min="21" max="21" width="42.28515625" style="4" customWidth="1"/>
    <col min="22" max="16384" width="11.42578125" style="4"/>
  </cols>
  <sheetData>
    <row r="1" spans="1:23" ht="30.75" customHeight="1" x14ac:dyDescent="0.2">
      <c r="A1" s="21" t="s">
        <v>102</v>
      </c>
      <c r="B1" s="22"/>
      <c r="C1" s="21" t="s">
        <v>99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2"/>
      <c r="U1" s="27" t="s">
        <v>103</v>
      </c>
      <c r="V1" s="3"/>
    </row>
    <row r="2" spans="1:23" ht="30.75" customHeight="1" x14ac:dyDescent="0.2">
      <c r="A2" s="23"/>
      <c r="B2" s="24"/>
      <c r="C2" s="23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4"/>
      <c r="U2" s="28"/>
      <c r="V2" s="3"/>
    </row>
    <row r="3" spans="1:23" ht="51.75" customHeight="1" x14ac:dyDescent="0.2">
      <c r="A3" s="53" t="s">
        <v>83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</row>
    <row r="4" spans="1:23" ht="51.75" customHeight="1" x14ac:dyDescent="0.2">
      <c r="A4" s="53" t="s">
        <v>98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</row>
    <row r="5" spans="1:23" ht="27.6" customHeight="1" x14ac:dyDescent="0.2">
      <c r="A5" s="54" t="s">
        <v>24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</row>
    <row r="6" spans="1:23" ht="52.9" customHeight="1" x14ac:dyDescent="0.2">
      <c r="A6" s="20" t="s">
        <v>225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W6" s="5"/>
    </row>
    <row r="7" spans="1:23" ht="24" customHeight="1" x14ac:dyDescent="0.2">
      <c r="A7" s="54" t="s">
        <v>25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</row>
    <row r="8" spans="1:23" ht="33.75" customHeight="1" x14ac:dyDescent="0.2">
      <c r="A8" s="20" t="s">
        <v>226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W8" s="5"/>
    </row>
    <row r="9" spans="1:23" ht="24" customHeight="1" x14ac:dyDescent="0.2">
      <c r="A9" s="54" t="s">
        <v>26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</row>
    <row r="10" spans="1:23" ht="21" customHeight="1" x14ac:dyDescent="0.2">
      <c r="A10" s="20" t="s">
        <v>41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spans="1:23" ht="24" customHeight="1" x14ac:dyDescent="0.2">
      <c r="A11" s="54" t="s">
        <v>42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</row>
    <row r="12" spans="1:23" ht="21" customHeight="1" x14ac:dyDescent="0.2">
      <c r="A12" s="34" t="s">
        <v>101</v>
      </c>
      <c r="B12" s="34"/>
      <c r="C12" s="34"/>
      <c r="D12" s="34"/>
      <c r="E12" s="35" t="s">
        <v>52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1:23" s="5" customFormat="1" ht="22.5" customHeight="1" x14ac:dyDescent="0.2">
      <c r="A13" s="62" t="s">
        <v>17</v>
      </c>
      <c r="B13" s="44" t="s">
        <v>19</v>
      </c>
      <c r="C13" s="45"/>
      <c r="D13" s="46"/>
      <c r="E13" s="33" t="s">
        <v>1</v>
      </c>
      <c r="F13" s="33" t="s">
        <v>2</v>
      </c>
      <c r="G13" s="33" t="s">
        <v>3</v>
      </c>
      <c r="H13" s="33" t="s">
        <v>4</v>
      </c>
      <c r="I13" s="33" t="s">
        <v>5</v>
      </c>
      <c r="J13" s="33" t="s">
        <v>6</v>
      </c>
      <c r="K13" s="33" t="s">
        <v>7</v>
      </c>
      <c r="L13" s="33" t="s">
        <v>8</v>
      </c>
      <c r="M13" s="33" t="s">
        <v>9</v>
      </c>
      <c r="N13" s="33" t="s">
        <v>10</v>
      </c>
      <c r="O13" s="33" t="s">
        <v>11</v>
      </c>
      <c r="P13" s="33" t="s">
        <v>12</v>
      </c>
      <c r="Q13" s="31" t="s">
        <v>23</v>
      </c>
      <c r="R13" s="31"/>
      <c r="S13" s="32" t="s">
        <v>27</v>
      </c>
      <c r="T13" s="32" t="s">
        <v>16</v>
      </c>
      <c r="U13" s="32" t="s">
        <v>0</v>
      </c>
    </row>
    <row r="14" spans="1:23" s="5" customFormat="1" ht="22.5" customHeight="1" x14ac:dyDescent="0.2">
      <c r="A14" s="62"/>
      <c r="B14" s="47"/>
      <c r="C14" s="48"/>
      <c r="D14" s="49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1"/>
      <c r="R14" s="31"/>
      <c r="S14" s="32"/>
      <c r="T14" s="32"/>
      <c r="U14" s="32"/>
    </row>
    <row r="15" spans="1:23" s="1" customFormat="1" ht="28.15" customHeight="1" x14ac:dyDescent="0.2">
      <c r="A15" s="62"/>
      <c r="B15" s="50"/>
      <c r="C15" s="51"/>
      <c r="D15" s="52"/>
      <c r="E15" s="30" t="s">
        <v>47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2"/>
      <c r="T15" s="32"/>
      <c r="U15" s="32"/>
    </row>
    <row r="16" spans="1:23" s="14" customFormat="1" ht="43.5" customHeight="1" x14ac:dyDescent="0.2">
      <c r="A16" s="61" t="s">
        <v>18</v>
      </c>
      <c r="B16" s="15" t="s">
        <v>211</v>
      </c>
      <c r="C16" s="15"/>
      <c r="D16" s="13" t="s">
        <v>30</v>
      </c>
      <c r="E16" s="7">
        <v>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59">
        <f>IFERROR(IF(COUNT(E16:P16)&lt;1,0,IF(COUNT(E17:P17)&gt;=COUNT(E16:P16),1,(COUNT(E17:P17)/COUNT(E16:P16)))),0)</f>
        <v>0</v>
      </c>
      <c r="R16" s="29">
        <f>AVERAGE(Q16:Q73)</f>
        <v>0</v>
      </c>
      <c r="S16" s="17" t="s">
        <v>51</v>
      </c>
      <c r="T16" s="18" t="s">
        <v>50</v>
      </c>
      <c r="U16" s="57"/>
    </row>
    <row r="17" spans="1:21" s="14" customFormat="1" ht="43.5" customHeight="1" x14ac:dyDescent="0.2">
      <c r="A17" s="61"/>
      <c r="B17" s="15"/>
      <c r="C17" s="15"/>
      <c r="D17" s="8" t="s">
        <v>31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60"/>
      <c r="R17" s="29"/>
      <c r="S17" s="17"/>
      <c r="T17" s="18"/>
      <c r="U17" s="58"/>
    </row>
    <row r="18" spans="1:21" s="1" customFormat="1" ht="39.75" customHeight="1" x14ac:dyDescent="0.2">
      <c r="A18" s="61"/>
      <c r="B18" s="15" t="s">
        <v>110</v>
      </c>
      <c r="C18" s="15"/>
      <c r="D18" s="13" t="s">
        <v>30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</v>
      </c>
      <c r="Q18" s="16">
        <f>IFERROR(IF(COUNT(E18:P18)&lt;1,0,IF(COUNT(E19:P19)&gt;=COUNT(E18:P18),1,(COUNT(E19:P19)/COUNT(E18:P18)))),0)</f>
        <v>0</v>
      </c>
      <c r="R18" s="29"/>
      <c r="S18" s="17" t="s">
        <v>49</v>
      </c>
      <c r="T18" s="18" t="s">
        <v>53</v>
      </c>
      <c r="U18" s="19"/>
    </row>
    <row r="19" spans="1:21" s="1" customFormat="1" ht="39.75" customHeight="1" x14ac:dyDescent="0.2">
      <c r="A19" s="61"/>
      <c r="B19" s="15"/>
      <c r="C19" s="15"/>
      <c r="D19" s="8" t="s">
        <v>31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6"/>
      <c r="R19" s="29"/>
      <c r="S19" s="17"/>
      <c r="T19" s="18"/>
      <c r="U19" s="19"/>
    </row>
    <row r="20" spans="1:21" s="1" customFormat="1" ht="39.75" customHeight="1" x14ac:dyDescent="0.2">
      <c r="A20" s="61"/>
      <c r="B20" s="15" t="s">
        <v>111</v>
      </c>
      <c r="C20" s="15"/>
      <c r="D20" s="13" t="s">
        <v>30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16">
        <f>IFERROR(IF(COUNT(E20:P20)&lt;1,0,IF(COUNT(E21:P21)&gt;=COUNT(E20:P20),1,(COUNT(E21:P21)/COUNT(E20:P20)))),0)</f>
        <v>0</v>
      </c>
      <c r="R20" s="29"/>
      <c r="S20" s="17" t="s">
        <v>51</v>
      </c>
      <c r="T20" s="18" t="s">
        <v>116</v>
      </c>
      <c r="U20" s="19"/>
    </row>
    <row r="21" spans="1:21" s="1" customFormat="1" ht="39.75" customHeight="1" x14ac:dyDescent="0.2">
      <c r="A21" s="61"/>
      <c r="B21" s="15"/>
      <c r="C21" s="15"/>
      <c r="D21" s="8" t="s">
        <v>31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6"/>
      <c r="R21" s="29"/>
      <c r="S21" s="17"/>
      <c r="T21" s="18"/>
      <c r="U21" s="19"/>
    </row>
    <row r="22" spans="1:21" s="1" customFormat="1" ht="39.75" customHeight="1" x14ac:dyDescent="0.2">
      <c r="A22" s="61"/>
      <c r="B22" s="15" t="s">
        <v>121</v>
      </c>
      <c r="C22" s="15"/>
      <c r="D22" s="13" t="s">
        <v>30</v>
      </c>
      <c r="E22" s="7">
        <v>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6">
        <f>IFERROR(IF(COUNT(E22:P22)&lt;1,0,IF(COUNT(E23:P23)&gt;=COUNT(E22:P22),1,(COUNT(E23:P23)/COUNT(E22:P22)))),0)</f>
        <v>0</v>
      </c>
      <c r="R22" s="29"/>
      <c r="S22" s="17" t="s">
        <v>54</v>
      </c>
      <c r="T22" s="18" t="s">
        <v>114</v>
      </c>
      <c r="U22" s="19"/>
    </row>
    <row r="23" spans="1:21" s="1" customFormat="1" ht="39.75" customHeight="1" x14ac:dyDescent="0.2">
      <c r="A23" s="61"/>
      <c r="B23" s="15"/>
      <c r="C23" s="15"/>
      <c r="D23" s="8" t="s">
        <v>31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6"/>
      <c r="R23" s="29"/>
      <c r="S23" s="17"/>
      <c r="T23" s="18"/>
      <c r="U23" s="19"/>
    </row>
    <row r="24" spans="1:21" s="1" customFormat="1" ht="39.75" customHeight="1" x14ac:dyDescent="0.2">
      <c r="A24" s="61"/>
      <c r="B24" s="15" t="s">
        <v>112</v>
      </c>
      <c r="C24" s="15"/>
      <c r="D24" s="13" t="s">
        <v>30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16">
        <f>IFERROR(IF(COUNT(E24:P24)&lt;1,0,IF(COUNT(E25:P25)&gt;=COUNT(E24:P24),1,(COUNT(E25:P25)/COUNT(E24:P24)))),0)</f>
        <v>0</v>
      </c>
      <c r="R24" s="29"/>
      <c r="S24" s="17" t="s">
        <v>126</v>
      </c>
      <c r="T24" s="18" t="s">
        <v>115</v>
      </c>
      <c r="U24" s="19"/>
    </row>
    <row r="25" spans="1:21" s="1" customFormat="1" ht="39.75" customHeight="1" x14ac:dyDescent="0.2">
      <c r="A25" s="61"/>
      <c r="B25" s="15"/>
      <c r="C25" s="15"/>
      <c r="D25" s="8" t="s">
        <v>31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6"/>
      <c r="R25" s="29"/>
      <c r="S25" s="17"/>
      <c r="T25" s="18"/>
      <c r="U25" s="19"/>
    </row>
    <row r="26" spans="1:21" s="1" customFormat="1" ht="74.25" customHeight="1" x14ac:dyDescent="0.2">
      <c r="A26" s="61"/>
      <c r="B26" s="15" t="s">
        <v>113</v>
      </c>
      <c r="C26" s="15"/>
      <c r="D26" s="13" t="s">
        <v>30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16">
        <f t="shared" ref="Q26" si="0">IFERROR(IF(COUNT(E26:P26)&lt;1,0,IF(COUNT(E27:P27)&gt;=COUNT(E26:P26),1,(COUNT(E27:P27)/COUNT(E26:P26)))),0)</f>
        <v>0</v>
      </c>
      <c r="R26" s="29"/>
      <c r="S26" s="17" t="s">
        <v>85</v>
      </c>
      <c r="T26" s="18" t="s">
        <v>125</v>
      </c>
      <c r="U26" s="19"/>
    </row>
    <row r="27" spans="1:21" s="1" customFormat="1" ht="74.25" customHeight="1" x14ac:dyDescent="0.2">
      <c r="A27" s="61"/>
      <c r="B27" s="15"/>
      <c r="C27" s="15"/>
      <c r="D27" s="8" t="s">
        <v>31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6"/>
      <c r="R27" s="29"/>
      <c r="S27" s="17"/>
      <c r="T27" s="18"/>
      <c r="U27" s="19"/>
    </row>
    <row r="28" spans="1:21" s="2" customFormat="1" ht="57" customHeight="1" x14ac:dyDescent="0.2">
      <c r="A28" s="61"/>
      <c r="B28" s="15" t="s">
        <v>204</v>
      </c>
      <c r="C28" s="15"/>
      <c r="D28" s="13" t="s">
        <v>30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6">
        <f t="shared" ref="Q28" si="1">IFERROR(IF(COUNT(E28:P28)&lt;1,0,IF(COUNT(E29:P29)&gt;=COUNT(E28:P28),1,(COUNT(E29:P29)/COUNT(E28:P28)))),0)</f>
        <v>0</v>
      </c>
      <c r="R28" s="29"/>
      <c r="S28" s="17" t="s">
        <v>205</v>
      </c>
      <c r="T28" s="18" t="s">
        <v>206</v>
      </c>
      <c r="U28" s="19" t="s">
        <v>169</v>
      </c>
    </row>
    <row r="29" spans="1:21" s="2" customFormat="1" ht="57" customHeight="1" x14ac:dyDescent="0.2">
      <c r="A29" s="61"/>
      <c r="B29" s="15"/>
      <c r="C29" s="15"/>
      <c r="D29" s="8" t="s">
        <v>31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6"/>
      <c r="R29" s="29"/>
      <c r="S29" s="17"/>
      <c r="T29" s="18"/>
      <c r="U29" s="19"/>
    </row>
    <row r="30" spans="1:21" s="2" customFormat="1" ht="57" customHeight="1" x14ac:dyDescent="0.2">
      <c r="A30" s="61"/>
      <c r="B30" s="15" t="s">
        <v>207</v>
      </c>
      <c r="C30" s="15"/>
      <c r="D30" s="13" t="s">
        <v>30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6">
        <f t="shared" ref="Q30" si="2">IFERROR(IF(COUNT(E30:P30)&lt;1,0,IF(COUNT(E31:P31)&gt;=COUNT(E30:P30),1,(COUNT(E31:P31)/COUNT(E30:P30)))),0)</f>
        <v>0</v>
      </c>
      <c r="R30" s="29"/>
      <c r="S30" s="17" t="s">
        <v>85</v>
      </c>
      <c r="T30" s="18" t="s">
        <v>208</v>
      </c>
      <c r="U30" s="19" t="s">
        <v>169</v>
      </c>
    </row>
    <row r="31" spans="1:21" s="2" customFormat="1" ht="57" customHeight="1" x14ac:dyDescent="0.2">
      <c r="A31" s="61"/>
      <c r="B31" s="15"/>
      <c r="C31" s="15"/>
      <c r="D31" s="8" t="s">
        <v>31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6"/>
      <c r="R31" s="29"/>
      <c r="S31" s="17"/>
      <c r="T31" s="18"/>
      <c r="U31" s="19"/>
    </row>
    <row r="32" spans="1:21" s="2" customFormat="1" ht="25.5" customHeight="1" x14ac:dyDescent="0.2">
      <c r="A32" s="61"/>
      <c r="B32" s="15" t="s">
        <v>218</v>
      </c>
      <c r="C32" s="15"/>
      <c r="D32" s="13" t="s">
        <v>30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16">
        <f t="shared" ref="Q32" si="3">IFERROR(IF(COUNT(E32:P32)&lt;1,0,IF(COUNT(E33:P33)&gt;=COUNT(E32:P32),1,(COUNT(E33:P33)/COUNT(E32:P32)))),0)</f>
        <v>0</v>
      </c>
      <c r="R32" s="29"/>
      <c r="S32" s="17" t="s">
        <v>209</v>
      </c>
      <c r="T32" s="18" t="s">
        <v>210</v>
      </c>
      <c r="U32" s="19"/>
    </row>
    <row r="33" spans="1:21" s="2" customFormat="1" ht="25.5" customHeight="1" x14ac:dyDescent="0.2">
      <c r="A33" s="61"/>
      <c r="B33" s="15"/>
      <c r="C33" s="15"/>
      <c r="D33" s="8" t="s">
        <v>31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6"/>
      <c r="R33" s="29"/>
      <c r="S33" s="17"/>
      <c r="T33" s="18"/>
      <c r="U33" s="19"/>
    </row>
    <row r="34" spans="1:21" s="2" customFormat="1" ht="25.5" customHeight="1" x14ac:dyDescent="0.2">
      <c r="A34" s="61"/>
      <c r="B34" s="15" t="s">
        <v>219</v>
      </c>
      <c r="C34" s="15"/>
      <c r="D34" s="13" t="s">
        <v>30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16">
        <f t="shared" ref="Q34" si="4">IFERROR(IF(COUNT(E34:P34)&lt;1,0,IF(COUNT(E35:P35)&gt;=COUNT(E34:P34),1,(COUNT(E35:P35)/COUNT(E34:P34)))),0)</f>
        <v>0</v>
      </c>
      <c r="R34" s="29"/>
      <c r="S34" s="17" t="s">
        <v>220</v>
      </c>
      <c r="T34" s="18" t="s">
        <v>221</v>
      </c>
      <c r="U34" s="19"/>
    </row>
    <row r="35" spans="1:21" s="2" customFormat="1" ht="25.5" customHeight="1" x14ac:dyDescent="0.2">
      <c r="A35" s="61"/>
      <c r="B35" s="15"/>
      <c r="C35" s="15"/>
      <c r="D35" s="8" t="s">
        <v>31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6"/>
      <c r="R35" s="29"/>
      <c r="S35" s="17"/>
      <c r="T35" s="18"/>
      <c r="U35" s="19"/>
    </row>
    <row r="36" spans="1:21" s="2" customFormat="1" ht="57" customHeight="1" x14ac:dyDescent="0.2">
      <c r="A36" s="61"/>
      <c r="B36" s="15" t="s">
        <v>120</v>
      </c>
      <c r="C36" s="15"/>
      <c r="D36" s="13" t="s">
        <v>30</v>
      </c>
      <c r="E36" s="7">
        <v>1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16">
        <f t="shared" ref="Q36" si="5">IFERROR(IF(COUNT(E36:P36)&lt;1,0,IF(COUNT(E37:P37)&gt;=COUNT(E36:P36),1,(COUNT(E37:P37)/COUNT(E36:P36)))),0)</f>
        <v>0</v>
      </c>
      <c r="R36" s="29"/>
      <c r="S36" s="17" t="s">
        <v>54</v>
      </c>
      <c r="T36" s="18" t="s">
        <v>117</v>
      </c>
      <c r="U36" s="19"/>
    </row>
    <row r="37" spans="1:21" s="2" customFormat="1" ht="57" customHeight="1" x14ac:dyDescent="0.2">
      <c r="A37" s="61"/>
      <c r="B37" s="15"/>
      <c r="C37" s="15"/>
      <c r="D37" s="8" t="s">
        <v>31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6"/>
      <c r="R37" s="29"/>
      <c r="S37" s="17"/>
      <c r="T37" s="18"/>
      <c r="U37" s="19"/>
    </row>
    <row r="38" spans="1:21" s="2" customFormat="1" ht="57" customHeight="1" x14ac:dyDescent="0.2">
      <c r="A38" s="61"/>
      <c r="B38" s="15" t="s">
        <v>118</v>
      </c>
      <c r="C38" s="15"/>
      <c r="D38" s="13" t="s">
        <v>30</v>
      </c>
      <c r="E38" s="7">
        <v>1</v>
      </c>
      <c r="F38" s="7"/>
      <c r="G38" s="7"/>
      <c r="H38" s="7">
        <v>1</v>
      </c>
      <c r="I38" s="7"/>
      <c r="J38" s="7"/>
      <c r="K38" s="7">
        <v>1</v>
      </c>
      <c r="L38" s="7"/>
      <c r="M38" s="7"/>
      <c r="N38" s="7">
        <v>1</v>
      </c>
      <c r="O38" s="7"/>
      <c r="P38" s="7"/>
      <c r="Q38" s="16">
        <f t="shared" ref="Q38" si="6">IFERROR(IF(COUNT(E38:P38)&lt;1,0,IF(COUNT(E39:P39)&gt;=COUNT(E38:P38),1,(COUNT(E39:P39)/COUNT(E38:P38)))),0)</f>
        <v>0</v>
      </c>
      <c r="R38" s="29"/>
      <c r="S38" s="17" t="s">
        <v>124</v>
      </c>
      <c r="T38" s="18" t="s">
        <v>119</v>
      </c>
      <c r="U38" s="19"/>
    </row>
    <row r="39" spans="1:21" s="2" customFormat="1" ht="57" customHeight="1" x14ac:dyDescent="0.2">
      <c r="A39" s="61"/>
      <c r="B39" s="15"/>
      <c r="C39" s="15"/>
      <c r="D39" s="8" t="s">
        <v>31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6"/>
      <c r="R39" s="29"/>
      <c r="S39" s="17"/>
      <c r="T39" s="18"/>
      <c r="U39" s="19"/>
    </row>
    <row r="40" spans="1:21" s="2" customFormat="1" ht="57" customHeight="1" x14ac:dyDescent="0.2">
      <c r="A40" s="61"/>
      <c r="B40" s="15" t="s">
        <v>122</v>
      </c>
      <c r="C40" s="15"/>
      <c r="D40" s="13" t="s">
        <v>30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16">
        <f t="shared" ref="Q40" si="7">IFERROR(IF(COUNT(E40:P40)&lt;1,0,IF(COUNT(E41:P41)&gt;=COUNT(E40:P40),1,(COUNT(E41:P41)/COUNT(E40:P40)))),0)</f>
        <v>0</v>
      </c>
      <c r="R40" s="29"/>
      <c r="S40" s="17" t="s">
        <v>124</v>
      </c>
      <c r="T40" s="18" t="s">
        <v>123</v>
      </c>
      <c r="U40" s="19"/>
    </row>
    <row r="41" spans="1:21" s="2" customFormat="1" ht="57" customHeight="1" x14ac:dyDescent="0.2">
      <c r="A41" s="61"/>
      <c r="B41" s="15"/>
      <c r="C41" s="15"/>
      <c r="D41" s="8" t="s">
        <v>31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6"/>
      <c r="R41" s="29"/>
      <c r="S41" s="17"/>
      <c r="T41" s="18"/>
      <c r="U41" s="19"/>
    </row>
    <row r="42" spans="1:21" s="2" customFormat="1" ht="57" customHeight="1" x14ac:dyDescent="0.2">
      <c r="A42" s="61"/>
      <c r="B42" s="15" t="s">
        <v>127</v>
      </c>
      <c r="C42" s="15"/>
      <c r="D42" s="13" t="s">
        <v>30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6">
        <f t="shared" ref="Q42" si="8">IFERROR(IF(COUNT(E42:P42)&lt;1,0,IF(COUNT(E43:P43)&gt;=COUNT(E42:P42),1,(COUNT(E43:P43)/COUNT(E42:P42)))),0)</f>
        <v>0</v>
      </c>
      <c r="R42" s="29"/>
      <c r="S42" s="17" t="s">
        <v>124</v>
      </c>
      <c r="T42" s="18" t="s">
        <v>128</v>
      </c>
      <c r="U42" s="19" t="s">
        <v>60</v>
      </c>
    </row>
    <row r="43" spans="1:21" s="2" customFormat="1" ht="57" customHeight="1" x14ac:dyDescent="0.2">
      <c r="A43" s="61"/>
      <c r="B43" s="15"/>
      <c r="C43" s="15"/>
      <c r="D43" s="8" t="s">
        <v>31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6"/>
      <c r="R43" s="29"/>
      <c r="S43" s="17"/>
      <c r="T43" s="18"/>
      <c r="U43" s="19"/>
    </row>
    <row r="44" spans="1:21" s="2" customFormat="1" ht="42" customHeight="1" x14ac:dyDescent="0.2">
      <c r="A44" s="61"/>
      <c r="B44" s="15" t="s">
        <v>129</v>
      </c>
      <c r="C44" s="15"/>
      <c r="D44" s="13" t="s">
        <v>30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>
        <v>1</v>
      </c>
      <c r="Q44" s="16">
        <f t="shared" ref="Q44" si="9">IFERROR(IF(COUNT(E44:P44)&lt;1,0,IF(COUNT(E45:P45)&gt;=COUNT(E44:P44),1,(COUNT(E45:P45)/COUNT(E44:P44)))),0)</f>
        <v>0</v>
      </c>
      <c r="R44" s="29"/>
      <c r="S44" s="17" t="s">
        <v>87</v>
      </c>
      <c r="T44" s="18" t="s">
        <v>130</v>
      </c>
      <c r="U44" s="19"/>
    </row>
    <row r="45" spans="1:21" s="2" customFormat="1" ht="42" customHeight="1" x14ac:dyDescent="0.2">
      <c r="A45" s="61"/>
      <c r="B45" s="15"/>
      <c r="C45" s="15"/>
      <c r="D45" s="8" t="s">
        <v>31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6"/>
      <c r="R45" s="29"/>
      <c r="S45" s="17"/>
      <c r="T45" s="18"/>
      <c r="U45" s="19"/>
    </row>
    <row r="46" spans="1:21" s="1" customFormat="1" ht="30" customHeight="1" x14ac:dyDescent="0.2">
      <c r="A46" s="61"/>
      <c r="B46" s="15" t="s">
        <v>131</v>
      </c>
      <c r="C46" s="15"/>
      <c r="D46" s="13" t="s">
        <v>30</v>
      </c>
      <c r="E46" s="7">
        <v>1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6">
        <f t="shared" ref="Q46" si="10">IFERROR(IF(COUNT(E46:P46)&lt;1,0,IF(COUNT(E47:P47)&gt;=COUNT(E46:P46),1,(COUNT(E47:P47)/COUNT(E46:P46)))),0)</f>
        <v>0</v>
      </c>
      <c r="R46" s="29"/>
      <c r="S46" s="17" t="s">
        <v>51</v>
      </c>
      <c r="T46" s="18" t="s">
        <v>132</v>
      </c>
      <c r="U46" s="19"/>
    </row>
    <row r="47" spans="1:21" s="1" customFormat="1" ht="30" customHeight="1" x14ac:dyDescent="0.2">
      <c r="A47" s="61"/>
      <c r="B47" s="15"/>
      <c r="C47" s="15"/>
      <c r="D47" s="8" t="s">
        <v>31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16"/>
      <c r="R47" s="29"/>
      <c r="S47" s="17"/>
      <c r="T47" s="18"/>
      <c r="U47" s="19"/>
    </row>
    <row r="48" spans="1:21" s="1" customFormat="1" ht="30" customHeight="1" x14ac:dyDescent="0.2">
      <c r="A48" s="61"/>
      <c r="B48" s="15" t="s">
        <v>212</v>
      </c>
      <c r="C48" s="15"/>
      <c r="D48" s="13" t="s">
        <v>30</v>
      </c>
      <c r="E48" s="7">
        <v>1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16">
        <f t="shared" ref="Q48" si="11">IFERROR(IF(COUNT(E48:P48)&lt;1,0,IF(COUNT(E49:P49)&gt;=COUNT(E48:P48),1,(COUNT(E49:P49)/COUNT(E48:P48)))),0)</f>
        <v>0</v>
      </c>
      <c r="R48" s="29"/>
      <c r="S48" s="17" t="s">
        <v>133</v>
      </c>
      <c r="T48" s="18" t="s">
        <v>134</v>
      </c>
      <c r="U48" s="19"/>
    </row>
    <row r="49" spans="1:21" s="1" customFormat="1" ht="30" customHeight="1" x14ac:dyDescent="0.2">
      <c r="A49" s="61"/>
      <c r="B49" s="15"/>
      <c r="C49" s="15"/>
      <c r="D49" s="8" t="s">
        <v>31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16"/>
      <c r="R49" s="29"/>
      <c r="S49" s="17"/>
      <c r="T49" s="18"/>
      <c r="U49" s="19"/>
    </row>
    <row r="50" spans="1:21" s="1" customFormat="1" ht="46.5" customHeight="1" x14ac:dyDescent="0.2">
      <c r="A50" s="61"/>
      <c r="B50" s="15" t="s">
        <v>213</v>
      </c>
      <c r="C50" s="15"/>
      <c r="D50" s="13" t="s">
        <v>30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>
        <v>1</v>
      </c>
      <c r="Q50" s="16">
        <f t="shared" ref="Q50" si="12">IFERROR(IF(COUNT(E50:P50)&lt;1,0,IF(COUNT(E51:P51)&gt;=COUNT(E50:P50),1,(COUNT(E51:P51)/COUNT(E50:P50)))),0)</f>
        <v>0</v>
      </c>
      <c r="R50" s="29"/>
      <c r="S50" s="17" t="s">
        <v>54</v>
      </c>
      <c r="T50" s="18" t="s">
        <v>135</v>
      </c>
      <c r="U50" s="19"/>
    </row>
    <row r="51" spans="1:21" s="1" customFormat="1" ht="46.5" customHeight="1" x14ac:dyDescent="0.2">
      <c r="A51" s="61"/>
      <c r="B51" s="15"/>
      <c r="C51" s="15"/>
      <c r="D51" s="8" t="s">
        <v>31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6"/>
      <c r="R51" s="29"/>
      <c r="S51" s="17"/>
      <c r="T51" s="18"/>
      <c r="U51" s="19"/>
    </row>
    <row r="52" spans="1:21" s="1" customFormat="1" ht="33" customHeight="1" x14ac:dyDescent="0.2">
      <c r="A52" s="61"/>
      <c r="B52" s="15" t="s">
        <v>136</v>
      </c>
      <c r="C52" s="15"/>
      <c r="D52" s="13" t="s">
        <v>30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>
        <v>1</v>
      </c>
      <c r="Q52" s="16">
        <f t="shared" ref="Q52" si="13">IFERROR(IF(COUNT(E52:P52)&lt;1,0,IF(COUNT(E53:P53)&gt;=COUNT(E52:P52),1,(COUNT(E53:P53)/COUNT(E52:P52)))),0)</f>
        <v>0</v>
      </c>
      <c r="R52" s="29"/>
      <c r="S52" s="17" t="s">
        <v>51</v>
      </c>
      <c r="T52" s="18" t="s">
        <v>137</v>
      </c>
      <c r="U52" s="19"/>
    </row>
    <row r="53" spans="1:21" s="1" customFormat="1" ht="33" customHeight="1" x14ac:dyDescent="0.2">
      <c r="A53" s="61"/>
      <c r="B53" s="15"/>
      <c r="C53" s="15"/>
      <c r="D53" s="8" t="s">
        <v>31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6"/>
      <c r="R53" s="29"/>
      <c r="S53" s="17"/>
      <c r="T53" s="18"/>
      <c r="U53" s="19"/>
    </row>
    <row r="54" spans="1:21" s="1" customFormat="1" ht="36" customHeight="1" x14ac:dyDescent="0.2">
      <c r="A54" s="61"/>
      <c r="B54" s="15" t="s">
        <v>138</v>
      </c>
      <c r="C54" s="15"/>
      <c r="D54" s="13" t="s">
        <v>30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>
        <v>1</v>
      </c>
      <c r="Q54" s="16">
        <f t="shared" ref="Q54" si="14">IFERROR(IF(COUNT(E54:P54)&lt;1,0,IF(COUNT(E55:P55)&gt;=COUNT(E54:P54),1,(COUNT(E55:P55)/COUNT(E54:P54)))),0)</f>
        <v>0</v>
      </c>
      <c r="R54" s="29"/>
      <c r="S54" s="17" t="s">
        <v>51</v>
      </c>
      <c r="T54" s="18" t="s">
        <v>139</v>
      </c>
      <c r="U54" s="19"/>
    </row>
    <row r="55" spans="1:21" s="1" customFormat="1" ht="36" customHeight="1" x14ac:dyDescent="0.2">
      <c r="A55" s="61"/>
      <c r="B55" s="15"/>
      <c r="C55" s="15"/>
      <c r="D55" s="8" t="s">
        <v>31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6"/>
      <c r="R55" s="29"/>
      <c r="S55" s="17"/>
      <c r="T55" s="18"/>
      <c r="U55" s="19"/>
    </row>
    <row r="56" spans="1:21" s="1" customFormat="1" ht="36" customHeight="1" x14ac:dyDescent="0.2">
      <c r="A56" s="61"/>
      <c r="B56" s="15" t="s">
        <v>55</v>
      </c>
      <c r="C56" s="15"/>
      <c r="D56" s="13" t="s">
        <v>30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>
        <v>1</v>
      </c>
      <c r="Q56" s="16">
        <f t="shared" ref="Q56" si="15">IFERROR(IF(COUNT(E56:P56)&lt;1,0,IF(COUNT(E57:P57)&gt;=COUNT(E56:P56),1,(COUNT(E57:P57)/COUNT(E56:P56)))),0)</f>
        <v>0</v>
      </c>
      <c r="R56" s="29"/>
      <c r="S56" s="17" t="s">
        <v>88</v>
      </c>
      <c r="T56" s="18" t="s">
        <v>56</v>
      </c>
      <c r="U56" s="19"/>
    </row>
    <row r="57" spans="1:21" s="1" customFormat="1" ht="36" customHeight="1" x14ac:dyDescent="0.2">
      <c r="A57" s="61"/>
      <c r="B57" s="15"/>
      <c r="C57" s="15"/>
      <c r="D57" s="8" t="s">
        <v>31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6"/>
      <c r="R57" s="29"/>
      <c r="S57" s="17"/>
      <c r="T57" s="18"/>
      <c r="U57" s="19"/>
    </row>
    <row r="58" spans="1:21" s="1" customFormat="1" ht="45.75" customHeight="1" x14ac:dyDescent="0.2">
      <c r="A58" s="61"/>
      <c r="B58" s="15" t="s">
        <v>140</v>
      </c>
      <c r="C58" s="15"/>
      <c r="D58" s="13" t="s">
        <v>30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6">
        <f t="shared" ref="Q58" si="16">IFERROR(IF(COUNT(E58:P58)&lt;1,0,IF(COUNT(E59:P59)&gt;=COUNT(E58:P58),1,(COUNT(E59:P59)/COUNT(E58:P58)))),0)</f>
        <v>0</v>
      </c>
      <c r="R58" s="29"/>
      <c r="S58" s="17" t="s">
        <v>51</v>
      </c>
      <c r="T58" s="18" t="s">
        <v>141</v>
      </c>
      <c r="U58" s="19" t="s">
        <v>60</v>
      </c>
    </row>
    <row r="59" spans="1:21" s="1" customFormat="1" ht="45.75" customHeight="1" x14ac:dyDescent="0.2">
      <c r="A59" s="61"/>
      <c r="B59" s="15"/>
      <c r="C59" s="15"/>
      <c r="D59" s="8" t="s">
        <v>31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6"/>
      <c r="R59" s="29"/>
      <c r="S59" s="17"/>
      <c r="T59" s="18"/>
      <c r="U59" s="19"/>
    </row>
    <row r="60" spans="1:21" s="1" customFormat="1" ht="45.75" customHeight="1" x14ac:dyDescent="0.2">
      <c r="A60" s="61"/>
      <c r="B60" s="15" t="s">
        <v>142</v>
      </c>
      <c r="C60" s="15"/>
      <c r="D60" s="13" t="s">
        <v>30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16">
        <f t="shared" ref="Q60" si="17">IFERROR(IF(COUNT(E60:P60)&lt;1,0,IF(COUNT(E61:P61)&gt;=COUNT(E60:P60),1,(COUNT(E61:P61)/COUNT(E60:P60)))),0)</f>
        <v>0</v>
      </c>
      <c r="R60" s="29"/>
      <c r="S60" s="17" t="s">
        <v>143</v>
      </c>
      <c r="T60" s="18" t="s">
        <v>146</v>
      </c>
      <c r="U60" s="19"/>
    </row>
    <row r="61" spans="1:21" s="1" customFormat="1" ht="45.75" customHeight="1" x14ac:dyDescent="0.2">
      <c r="A61" s="61"/>
      <c r="B61" s="15"/>
      <c r="C61" s="15"/>
      <c r="D61" s="8" t="s">
        <v>31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6"/>
      <c r="R61" s="29"/>
      <c r="S61" s="17"/>
      <c r="T61" s="18"/>
      <c r="U61" s="19"/>
    </row>
    <row r="62" spans="1:21" s="1" customFormat="1" ht="45.75" customHeight="1" x14ac:dyDescent="0.2">
      <c r="A62" s="61"/>
      <c r="B62" s="15" t="s">
        <v>144</v>
      </c>
      <c r="C62" s="15"/>
      <c r="D62" s="13" t="s">
        <v>30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16">
        <f t="shared" ref="Q62" si="18">IFERROR(IF(COUNT(E62:P62)&lt;1,0,IF(COUNT(E63:P63)&gt;=COUNT(E62:P62),1,(COUNT(E63:P63)/COUNT(E62:P62)))),0)</f>
        <v>0</v>
      </c>
      <c r="R62" s="29"/>
      <c r="S62" s="17" t="s">
        <v>89</v>
      </c>
      <c r="T62" s="18" t="s">
        <v>145</v>
      </c>
      <c r="U62" s="19"/>
    </row>
    <row r="63" spans="1:21" s="1" customFormat="1" ht="45.75" customHeight="1" x14ac:dyDescent="0.2">
      <c r="A63" s="61"/>
      <c r="B63" s="15"/>
      <c r="C63" s="15"/>
      <c r="D63" s="8" t="s">
        <v>31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6"/>
      <c r="R63" s="29"/>
      <c r="S63" s="17"/>
      <c r="T63" s="18"/>
      <c r="U63" s="19"/>
    </row>
    <row r="64" spans="1:21" s="1" customFormat="1" ht="24" customHeight="1" x14ac:dyDescent="0.2">
      <c r="A64" s="61"/>
      <c r="B64" s="15" t="s">
        <v>224</v>
      </c>
      <c r="C64" s="15"/>
      <c r="D64" s="13" t="s">
        <v>30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6">
        <f t="shared" ref="Q64" si="19">IFERROR(IF(COUNT(E64:P64)&lt;1,0,IF(COUNT(E65:P65)&gt;=COUNT(E64:P64),1,(COUNT(E65:P65)/COUNT(E64:P64)))),0)</f>
        <v>0</v>
      </c>
      <c r="R64" s="29"/>
      <c r="S64" s="17" t="s">
        <v>90</v>
      </c>
      <c r="T64" s="18" t="s">
        <v>57</v>
      </c>
      <c r="U64" s="20" t="s">
        <v>214</v>
      </c>
    </row>
    <row r="65" spans="1:21" s="1" customFormat="1" ht="24" customHeight="1" x14ac:dyDescent="0.2">
      <c r="A65" s="61"/>
      <c r="B65" s="15"/>
      <c r="C65" s="15"/>
      <c r="D65" s="8" t="s">
        <v>31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16"/>
      <c r="R65" s="29"/>
      <c r="S65" s="17"/>
      <c r="T65" s="18"/>
      <c r="U65" s="20"/>
    </row>
    <row r="66" spans="1:21" s="1" customFormat="1" ht="36.75" customHeight="1" x14ac:dyDescent="0.2">
      <c r="A66" s="61"/>
      <c r="B66" s="15" t="s">
        <v>147</v>
      </c>
      <c r="C66" s="15"/>
      <c r="D66" s="13" t="s">
        <v>30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6">
        <f t="shared" ref="Q66" si="20">IFERROR(IF(COUNT(E66:P66)&lt;1,0,IF(COUNT(E67:P67)&gt;=COUNT(E66:P66),1,(COUNT(E67:P67)/COUNT(E66:P66)))),0)</f>
        <v>0</v>
      </c>
      <c r="R66" s="29"/>
      <c r="S66" s="17" t="s">
        <v>58</v>
      </c>
      <c r="T66" s="18" t="s">
        <v>148</v>
      </c>
      <c r="U66" s="19" t="s">
        <v>60</v>
      </c>
    </row>
    <row r="67" spans="1:21" s="1" customFormat="1" ht="36.75" customHeight="1" x14ac:dyDescent="0.2">
      <c r="A67" s="61"/>
      <c r="B67" s="15"/>
      <c r="C67" s="15"/>
      <c r="D67" s="8" t="s">
        <v>31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16"/>
      <c r="R67" s="29"/>
      <c r="S67" s="17"/>
      <c r="T67" s="18"/>
      <c r="U67" s="19"/>
    </row>
    <row r="68" spans="1:21" s="1" customFormat="1" ht="24" customHeight="1" x14ac:dyDescent="0.2">
      <c r="A68" s="61"/>
      <c r="B68" s="15" t="s">
        <v>149</v>
      </c>
      <c r="C68" s="15"/>
      <c r="D68" s="13" t="s">
        <v>30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16">
        <f t="shared" ref="Q68" si="21">IFERROR(IF(COUNT(E68:P68)&lt;1,0,IF(COUNT(E69:P69)&gt;=COUNT(E68:P68),1,(COUNT(E69:P69)/COUNT(E68:P68)))),0)</f>
        <v>0</v>
      </c>
      <c r="R68" s="29"/>
      <c r="S68" s="17" t="s">
        <v>51</v>
      </c>
      <c r="T68" s="18" t="s">
        <v>151</v>
      </c>
      <c r="U68" s="19" t="s">
        <v>60</v>
      </c>
    </row>
    <row r="69" spans="1:21" s="1" customFormat="1" ht="24" customHeight="1" x14ac:dyDescent="0.2">
      <c r="A69" s="61"/>
      <c r="B69" s="15"/>
      <c r="C69" s="15"/>
      <c r="D69" s="8" t="s">
        <v>31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16"/>
      <c r="R69" s="29"/>
      <c r="S69" s="17"/>
      <c r="T69" s="18"/>
      <c r="U69" s="19"/>
    </row>
    <row r="70" spans="1:21" s="1" customFormat="1" ht="24" customHeight="1" x14ac:dyDescent="0.2">
      <c r="A70" s="61"/>
      <c r="B70" s="15" t="s">
        <v>150</v>
      </c>
      <c r="C70" s="15"/>
      <c r="D70" s="13" t="s">
        <v>30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6">
        <f t="shared" ref="Q70" si="22">IFERROR(IF(COUNT(E70:P70)&lt;1,0,IF(COUNT(E71:P71)&gt;=COUNT(E70:P70),1,(COUNT(E71:P71)/COUNT(E70:P70)))),0)</f>
        <v>0</v>
      </c>
      <c r="R70" s="29"/>
      <c r="S70" s="17" t="s">
        <v>51</v>
      </c>
      <c r="T70" s="18" t="s">
        <v>152</v>
      </c>
      <c r="U70" s="19" t="s">
        <v>60</v>
      </c>
    </row>
    <row r="71" spans="1:21" s="1" customFormat="1" ht="24" customHeight="1" x14ac:dyDescent="0.2">
      <c r="A71" s="61"/>
      <c r="B71" s="15"/>
      <c r="C71" s="15"/>
      <c r="D71" s="8" t="s">
        <v>31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16"/>
      <c r="R71" s="29"/>
      <c r="S71" s="17"/>
      <c r="T71" s="18"/>
      <c r="U71" s="19"/>
    </row>
    <row r="72" spans="1:21" s="1" customFormat="1" ht="34.5" customHeight="1" x14ac:dyDescent="0.2">
      <c r="A72" s="61"/>
      <c r="B72" s="15" t="s">
        <v>215</v>
      </c>
      <c r="C72" s="15"/>
      <c r="D72" s="13" t="s">
        <v>30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16">
        <f t="shared" ref="Q72" si="23">IFERROR(IF(COUNT(E72:P72)&lt;1,0,IF(COUNT(E73:P73)&gt;=COUNT(E72:P72),1,(COUNT(E73:P73)/COUNT(E72:P72)))),0)</f>
        <v>0</v>
      </c>
      <c r="R72" s="29"/>
      <c r="S72" s="17" t="s">
        <v>91</v>
      </c>
      <c r="T72" s="18" t="s">
        <v>59</v>
      </c>
      <c r="U72" s="19" t="s">
        <v>60</v>
      </c>
    </row>
    <row r="73" spans="1:21" s="1" customFormat="1" ht="34.5" customHeight="1" x14ac:dyDescent="0.2">
      <c r="A73" s="61"/>
      <c r="B73" s="15"/>
      <c r="C73" s="15"/>
      <c r="D73" s="8" t="s">
        <v>31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16"/>
      <c r="R73" s="29"/>
      <c r="S73" s="17"/>
      <c r="T73" s="18"/>
      <c r="U73" s="19"/>
    </row>
    <row r="74" spans="1:21" s="1" customFormat="1" ht="24" customHeight="1" x14ac:dyDescent="0.2">
      <c r="A74" s="90" t="s">
        <v>20</v>
      </c>
      <c r="B74" s="15" t="s">
        <v>84</v>
      </c>
      <c r="C74" s="15"/>
      <c r="D74" s="13" t="s">
        <v>30</v>
      </c>
      <c r="E74" s="7">
        <v>1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6">
        <f>IFERROR(IF(COUNT(E74:P74)&lt;1,0,IF(COUNT(E75:P75)&gt;=COUNT(E74:P74),1,(COUNT(E75:P75)/COUNT(E74:P74)))),0)</f>
        <v>0</v>
      </c>
      <c r="R74" s="29"/>
      <c r="S74" s="17" t="s">
        <v>51</v>
      </c>
      <c r="T74" s="18" t="s">
        <v>61</v>
      </c>
      <c r="U74" s="19"/>
    </row>
    <row r="75" spans="1:21" s="1" customFormat="1" ht="24" customHeight="1" x14ac:dyDescent="0.2">
      <c r="A75" s="90"/>
      <c r="B75" s="15"/>
      <c r="C75" s="15"/>
      <c r="D75" s="8" t="s">
        <v>31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16"/>
      <c r="R75" s="29"/>
      <c r="S75" s="17"/>
      <c r="T75" s="18"/>
      <c r="U75" s="19"/>
    </row>
    <row r="76" spans="1:21" s="1" customFormat="1" ht="38.25" customHeight="1" x14ac:dyDescent="0.2">
      <c r="A76" s="90"/>
      <c r="B76" s="15" t="s">
        <v>153</v>
      </c>
      <c r="C76" s="15"/>
      <c r="D76" s="13" t="s">
        <v>30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16">
        <f>IFERROR(IF(COUNT(E76:P76)&lt;1,0,IF(COUNT(E77:P77)&gt;=COUNT(E76:P76),1,(COUNT(E77:P77)/COUNT(E76:P76)))),0)</f>
        <v>0</v>
      </c>
      <c r="R76" s="29"/>
      <c r="S76" s="17" t="s">
        <v>54</v>
      </c>
      <c r="T76" s="18" t="s">
        <v>62</v>
      </c>
      <c r="U76" s="20"/>
    </row>
    <row r="77" spans="1:21" s="1" customFormat="1" ht="38.25" customHeight="1" x14ac:dyDescent="0.2">
      <c r="A77" s="90"/>
      <c r="B77" s="15"/>
      <c r="C77" s="15"/>
      <c r="D77" s="8" t="s">
        <v>31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16"/>
      <c r="R77" s="29"/>
      <c r="S77" s="17"/>
      <c r="T77" s="18"/>
      <c r="U77" s="20"/>
    </row>
    <row r="78" spans="1:21" s="1" customFormat="1" ht="59.25" customHeight="1" x14ac:dyDescent="0.2">
      <c r="A78" s="90"/>
      <c r="B78" s="15" t="s">
        <v>216</v>
      </c>
      <c r="C78" s="15"/>
      <c r="D78" s="13" t="s">
        <v>30</v>
      </c>
      <c r="E78" s="7">
        <v>1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6">
        <f>IFERROR(IF(COUNT(E78:P78)&lt;1,0,IF(COUNT(E79:P79)&gt;=COUNT(E78:P78),1,(COUNT(E79:P79)/COUNT(E78:P78)))),0)</f>
        <v>0</v>
      </c>
      <c r="R78" s="29"/>
      <c r="S78" s="17" t="s">
        <v>51</v>
      </c>
      <c r="T78" s="18" t="s">
        <v>217</v>
      </c>
      <c r="U78" s="20"/>
    </row>
    <row r="79" spans="1:21" s="1" customFormat="1" ht="59.25" customHeight="1" x14ac:dyDescent="0.2">
      <c r="A79" s="90"/>
      <c r="B79" s="15"/>
      <c r="C79" s="15"/>
      <c r="D79" s="8" t="s">
        <v>31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16"/>
      <c r="R79" s="29"/>
      <c r="S79" s="17"/>
      <c r="T79" s="18"/>
      <c r="U79" s="20"/>
    </row>
    <row r="80" spans="1:21" s="1" customFormat="1" ht="45.75" customHeight="1" x14ac:dyDescent="0.2">
      <c r="A80" s="90"/>
      <c r="B80" s="15" t="s">
        <v>154</v>
      </c>
      <c r="C80" s="15"/>
      <c r="D80" s="13" t="s">
        <v>30</v>
      </c>
      <c r="E80" s="7">
        <v>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16">
        <f>IFERROR(IF(COUNT(E80:P80)&lt;1,0,IF(COUNT(E81:P81)&gt;=COUNT(E80:P80),1,(COUNT(E81:P81)/COUNT(E80:P80)))),0)</f>
        <v>0</v>
      </c>
      <c r="R80" s="29"/>
      <c r="S80" s="17" t="s">
        <v>49</v>
      </c>
      <c r="T80" s="18" t="s">
        <v>155</v>
      </c>
      <c r="U80" s="20" t="s">
        <v>60</v>
      </c>
    </row>
    <row r="81" spans="1:21" s="1" customFormat="1" ht="45.75" customHeight="1" x14ac:dyDescent="0.2">
      <c r="A81" s="90"/>
      <c r="B81" s="15"/>
      <c r="C81" s="15"/>
      <c r="D81" s="8" t="s">
        <v>31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16"/>
      <c r="R81" s="29"/>
      <c r="S81" s="17"/>
      <c r="T81" s="18"/>
      <c r="U81" s="20"/>
    </row>
    <row r="82" spans="1:21" s="1" customFormat="1" ht="23.25" customHeight="1" x14ac:dyDescent="0.2">
      <c r="A82" s="90"/>
      <c r="B82" s="15" t="s">
        <v>156</v>
      </c>
      <c r="C82" s="15"/>
      <c r="D82" s="13" t="s">
        <v>30</v>
      </c>
      <c r="E82" s="7">
        <v>1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6">
        <f>IFERROR(IF(COUNT(E82:P82)&lt;1,0,IF(COUNT(E83:P83)&gt;=COUNT(E82:P82),1,(COUNT(E83:P83)/COUNT(E82:P82)))),0)</f>
        <v>0</v>
      </c>
      <c r="R82" s="29"/>
      <c r="S82" s="17" t="s">
        <v>51</v>
      </c>
      <c r="T82" s="18" t="s">
        <v>157</v>
      </c>
      <c r="U82" s="20"/>
    </row>
    <row r="83" spans="1:21" s="1" customFormat="1" ht="23.25" customHeight="1" x14ac:dyDescent="0.2">
      <c r="A83" s="90"/>
      <c r="B83" s="15"/>
      <c r="C83" s="15"/>
      <c r="D83" s="8" t="s">
        <v>31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16"/>
      <c r="R83" s="29"/>
      <c r="S83" s="17"/>
      <c r="T83" s="18"/>
      <c r="U83" s="20"/>
    </row>
    <row r="84" spans="1:21" s="1" customFormat="1" ht="40.5" customHeight="1" x14ac:dyDescent="0.2">
      <c r="A84" s="90"/>
      <c r="B84" s="15" t="s">
        <v>158</v>
      </c>
      <c r="C84" s="15"/>
      <c r="D84" s="13" t="s">
        <v>30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16">
        <f>IFERROR(IF(COUNT(E84:P84)&lt;1,0,IF(COUNT(E85:P85)&gt;=COUNT(E84:P84),1,(COUNT(E85:P85)/COUNT(E84:P84)))),0)</f>
        <v>0</v>
      </c>
      <c r="R84" s="29"/>
      <c r="S84" s="17" t="s">
        <v>58</v>
      </c>
      <c r="T84" s="18" t="s">
        <v>159</v>
      </c>
      <c r="U84" s="20" t="s">
        <v>60</v>
      </c>
    </row>
    <row r="85" spans="1:21" s="1" customFormat="1" ht="40.5" customHeight="1" x14ac:dyDescent="0.2">
      <c r="A85" s="90"/>
      <c r="B85" s="15"/>
      <c r="C85" s="15"/>
      <c r="D85" s="8" t="s">
        <v>31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16"/>
      <c r="R85" s="29"/>
      <c r="S85" s="17"/>
      <c r="T85" s="18"/>
      <c r="U85" s="20"/>
    </row>
    <row r="86" spans="1:21" s="1" customFormat="1" ht="24" customHeight="1" x14ac:dyDescent="0.2">
      <c r="A86" s="90"/>
      <c r="B86" s="15" t="s">
        <v>63</v>
      </c>
      <c r="C86" s="15"/>
      <c r="D86" s="13" t="s">
        <v>30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6">
        <f>IFERROR(IF(COUNT(E86:P86)&lt;1,0,IF(COUNT(E87:P87)&gt;=COUNT(E86:P86),1,(COUNT(E87:P87)/COUNT(E86:P86)))),0)</f>
        <v>0</v>
      </c>
      <c r="R86" s="29"/>
      <c r="S86" s="17" t="s">
        <v>58</v>
      </c>
      <c r="T86" s="18" t="s">
        <v>160</v>
      </c>
      <c r="U86" s="20"/>
    </row>
    <row r="87" spans="1:21" s="1" customFormat="1" ht="24" customHeight="1" x14ac:dyDescent="0.2">
      <c r="A87" s="90"/>
      <c r="B87" s="15"/>
      <c r="C87" s="15"/>
      <c r="D87" s="8" t="s">
        <v>31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16"/>
      <c r="R87" s="29"/>
      <c r="S87" s="17"/>
      <c r="T87" s="18"/>
      <c r="U87" s="20"/>
    </row>
    <row r="88" spans="1:21" s="1" customFormat="1" ht="37.5" customHeight="1" x14ac:dyDescent="0.2">
      <c r="A88" s="90"/>
      <c r="B88" s="15" t="s">
        <v>161</v>
      </c>
      <c r="C88" s="15"/>
      <c r="D88" s="13" t="s">
        <v>30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16">
        <f>IFERROR(IF(COUNT(E88:P88)&lt;1,0,IF(COUNT(E89:P89)&gt;=COUNT(E88:P88),1,(COUNT(E89:P89)/COUNT(E88:P88)))),0)</f>
        <v>0</v>
      </c>
      <c r="R88" s="29"/>
      <c r="S88" s="17" t="s">
        <v>162</v>
      </c>
      <c r="T88" s="18" t="s">
        <v>163</v>
      </c>
      <c r="U88" s="20"/>
    </row>
    <row r="89" spans="1:21" s="1" customFormat="1" ht="37.5" customHeight="1" x14ac:dyDescent="0.2">
      <c r="A89" s="90"/>
      <c r="B89" s="15"/>
      <c r="C89" s="15"/>
      <c r="D89" s="8" t="s">
        <v>31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6"/>
      <c r="R89" s="29"/>
      <c r="S89" s="17"/>
      <c r="T89" s="18"/>
      <c r="U89" s="20"/>
    </row>
    <row r="90" spans="1:21" s="1" customFormat="1" ht="37.5" customHeight="1" x14ac:dyDescent="0.2">
      <c r="A90" s="90"/>
      <c r="B90" s="15" t="s">
        <v>164</v>
      </c>
      <c r="C90" s="15"/>
      <c r="D90" s="13" t="s">
        <v>30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6">
        <f>IFERROR(IF(COUNT(E90:P90)&lt;1,0,IF(COUNT(E91:P91)&gt;=COUNT(E90:P90),1,(COUNT(E91:P91)/COUNT(E90:P90)))),0)</f>
        <v>0</v>
      </c>
      <c r="R90" s="29"/>
      <c r="S90" s="17" t="s">
        <v>54</v>
      </c>
      <c r="T90" s="18" t="s">
        <v>165</v>
      </c>
      <c r="U90" s="20" t="s">
        <v>169</v>
      </c>
    </row>
    <row r="91" spans="1:21" s="1" customFormat="1" ht="37.5" customHeight="1" x14ac:dyDescent="0.2">
      <c r="A91" s="90"/>
      <c r="B91" s="15"/>
      <c r="C91" s="15"/>
      <c r="D91" s="8" t="s">
        <v>31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6"/>
      <c r="R91" s="29"/>
      <c r="S91" s="17"/>
      <c r="T91" s="18"/>
      <c r="U91" s="20"/>
    </row>
    <row r="92" spans="1:21" s="1" customFormat="1" ht="37.5" customHeight="1" x14ac:dyDescent="0.2">
      <c r="A92" s="90"/>
      <c r="B92" s="15" t="s">
        <v>166</v>
      </c>
      <c r="C92" s="15"/>
      <c r="D92" s="13" t="s">
        <v>30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6">
        <f>IFERROR(IF(COUNT(E92:P92)&lt;1,0,IF(COUNT(E93:P93)&gt;=COUNT(E92:P92),1,(COUNT(E93:P93)/COUNT(E92:P92)))),0)</f>
        <v>0</v>
      </c>
      <c r="R92" s="29"/>
      <c r="S92" s="17" t="s">
        <v>167</v>
      </c>
      <c r="T92" s="18" t="s">
        <v>168</v>
      </c>
      <c r="U92" s="20" t="s">
        <v>169</v>
      </c>
    </row>
    <row r="93" spans="1:21" s="1" customFormat="1" ht="37.5" customHeight="1" x14ac:dyDescent="0.2">
      <c r="A93" s="90"/>
      <c r="B93" s="15"/>
      <c r="C93" s="15"/>
      <c r="D93" s="8" t="s">
        <v>31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6"/>
      <c r="R93" s="29"/>
      <c r="S93" s="17"/>
      <c r="T93" s="18"/>
      <c r="U93" s="20"/>
    </row>
    <row r="94" spans="1:21" s="1" customFormat="1" ht="37.5" customHeight="1" x14ac:dyDescent="0.2">
      <c r="A94" s="90"/>
      <c r="B94" s="15" t="s">
        <v>170</v>
      </c>
      <c r="C94" s="15"/>
      <c r="D94" s="13" t="s">
        <v>30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16">
        <f>IFERROR(IF(COUNT(E94:P94)&lt;1,0,IF(COUNT(E95:P95)&gt;=COUNT(E94:P94),1,(COUNT(E95:P95)/COUNT(E94:P94)))),0)</f>
        <v>0</v>
      </c>
      <c r="R94" s="29"/>
      <c r="S94" s="17" t="s">
        <v>51</v>
      </c>
      <c r="T94" s="18" t="s">
        <v>64</v>
      </c>
      <c r="U94" s="19"/>
    </row>
    <row r="95" spans="1:21" s="1" customFormat="1" ht="37.5" customHeight="1" x14ac:dyDescent="0.2">
      <c r="A95" s="90"/>
      <c r="B95" s="15"/>
      <c r="C95" s="15"/>
      <c r="D95" s="8" t="s">
        <v>31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6"/>
      <c r="R95" s="29"/>
      <c r="S95" s="17"/>
      <c r="T95" s="18"/>
      <c r="U95" s="19"/>
    </row>
    <row r="96" spans="1:21" s="1" customFormat="1" ht="24" customHeight="1" x14ac:dyDescent="0.2">
      <c r="A96" s="90"/>
      <c r="B96" s="15" t="s">
        <v>65</v>
      </c>
      <c r="C96" s="15"/>
      <c r="D96" s="13" t="s">
        <v>30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16">
        <f>IFERROR(IF(COUNT(E96:P96)&lt;1,0,IF(COUNT(E97:P97)&gt;=COUNT(E96:P96),1,(COUNT(E97:P97)/COUNT(E96:P96)))),0)</f>
        <v>0</v>
      </c>
      <c r="R96" s="29"/>
      <c r="S96" s="17" t="s">
        <v>51</v>
      </c>
      <c r="T96" s="18" t="s">
        <v>64</v>
      </c>
      <c r="U96" s="19"/>
    </row>
    <row r="97" spans="1:21" s="1" customFormat="1" ht="24" customHeight="1" x14ac:dyDescent="0.2">
      <c r="A97" s="90"/>
      <c r="B97" s="15"/>
      <c r="C97" s="15"/>
      <c r="D97" s="8" t="s">
        <v>31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6"/>
      <c r="R97" s="29"/>
      <c r="S97" s="17"/>
      <c r="T97" s="18"/>
      <c r="U97" s="19"/>
    </row>
    <row r="98" spans="1:21" s="1" customFormat="1" ht="24" customHeight="1" x14ac:dyDescent="0.2">
      <c r="A98" s="90"/>
      <c r="B98" s="15" t="s">
        <v>66</v>
      </c>
      <c r="C98" s="15"/>
      <c r="D98" s="13" t="s">
        <v>30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16">
        <f>IFERROR(IF(COUNT(E98:P98)&lt;1,0,IF(COUNT(E99:P99)&gt;=COUNT(E98:P98),1,(COUNT(E99:P99)/COUNT(E98:P98)))),0)</f>
        <v>0</v>
      </c>
      <c r="R98" s="29"/>
      <c r="S98" s="17" t="s">
        <v>51</v>
      </c>
      <c r="T98" s="18" t="s">
        <v>64</v>
      </c>
      <c r="U98" s="19"/>
    </row>
    <row r="99" spans="1:21" s="1" customFormat="1" ht="24" customHeight="1" x14ac:dyDescent="0.2">
      <c r="A99" s="90"/>
      <c r="B99" s="15"/>
      <c r="C99" s="15"/>
      <c r="D99" s="8" t="s">
        <v>31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6"/>
      <c r="R99" s="29"/>
      <c r="S99" s="17"/>
      <c r="T99" s="18"/>
      <c r="U99" s="19"/>
    </row>
    <row r="100" spans="1:21" s="1" customFormat="1" ht="24" customHeight="1" x14ac:dyDescent="0.2">
      <c r="A100" s="90"/>
      <c r="B100" s="15" t="s">
        <v>67</v>
      </c>
      <c r="C100" s="15"/>
      <c r="D100" s="13" t="s">
        <v>30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>
        <v>1</v>
      </c>
      <c r="Q100" s="16">
        <f>IFERROR(IF(COUNT(E100:P100)&lt;1,0,IF(COUNT(E101:P101)&gt;=COUNT(E100:P100),1,(COUNT(E101:P101)/COUNT(E100:P100)))),0)</f>
        <v>0</v>
      </c>
      <c r="R100" s="29"/>
      <c r="S100" s="17" t="s">
        <v>51</v>
      </c>
      <c r="T100" s="18" t="s">
        <v>64</v>
      </c>
      <c r="U100" s="19"/>
    </row>
    <row r="101" spans="1:21" s="1" customFormat="1" ht="24" customHeight="1" x14ac:dyDescent="0.2">
      <c r="A101" s="90"/>
      <c r="B101" s="15"/>
      <c r="C101" s="15"/>
      <c r="D101" s="8" t="s">
        <v>31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6"/>
      <c r="R101" s="29"/>
      <c r="S101" s="17"/>
      <c r="T101" s="18"/>
      <c r="U101" s="19"/>
    </row>
    <row r="102" spans="1:21" s="1" customFormat="1" ht="24" customHeight="1" x14ac:dyDescent="0.2">
      <c r="A102" s="90"/>
      <c r="B102" s="15" t="s">
        <v>68</v>
      </c>
      <c r="C102" s="15"/>
      <c r="D102" s="13" t="s">
        <v>30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>
        <v>1</v>
      </c>
      <c r="Q102" s="16">
        <f>IFERROR(IF(COUNT(E102:P102)&lt;1,0,IF(COUNT(E103:P103)&gt;=COUNT(E102:P102),1,(COUNT(E103:P103)/COUNT(E102:P102)))),0)</f>
        <v>0</v>
      </c>
      <c r="R102" s="29"/>
      <c r="S102" s="17" t="s">
        <v>51</v>
      </c>
      <c r="T102" s="18" t="s">
        <v>64</v>
      </c>
      <c r="U102" s="19"/>
    </row>
    <row r="103" spans="1:21" s="1" customFormat="1" ht="24" customHeight="1" x14ac:dyDescent="0.2">
      <c r="A103" s="90"/>
      <c r="B103" s="15"/>
      <c r="C103" s="15"/>
      <c r="D103" s="8" t="s">
        <v>31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6"/>
      <c r="R103" s="29"/>
      <c r="S103" s="17"/>
      <c r="T103" s="18"/>
      <c r="U103" s="19"/>
    </row>
    <row r="104" spans="1:21" s="1" customFormat="1" ht="24" customHeight="1" x14ac:dyDescent="0.2">
      <c r="A104" s="90"/>
      <c r="B104" s="15" t="s">
        <v>69</v>
      </c>
      <c r="C104" s="15"/>
      <c r="D104" s="13" t="s">
        <v>30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>
        <v>1</v>
      </c>
      <c r="Q104" s="16">
        <f>IFERROR(IF(COUNT(E104:P104)&lt;1,0,IF(COUNT(E105:P105)&gt;=COUNT(E104:P104),1,(COUNT(E105:P105)/COUNT(E104:P104)))),0)</f>
        <v>0</v>
      </c>
      <c r="R104" s="29"/>
      <c r="S104" s="17" t="s">
        <v>51</v>
      </c>
      <c r="T104" s="18" t="s">
        <v>64</v>
      </c>
      <c r="U104" s="19"/>
    </row>
    <row r="105" spans="1:21" s="1" customFormat="1" ht="24" customHeight="1" x14ac:dyDescent="0.2">
      <c r="A105" s="90"/>
      <c r="B105" s="15"/>
      <c r="C105" s="15"/>
      <c r="D105" s="8" t="s">
        <v>31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6"/>
      <c r="R105" s="29"/>
      <c r="S105" s="17"/>
      <c r="T105" s="18"/>
      <c r="U105" s="19"/>
    </row>
    <row r="106" spans="1:21" s="1" customFormat="1" ht="24" customHeight="1" x14ac:dyDescent="0.2">
      <c r="A106" s="90"/>
      <c r="B106" s="15" t="s">
        <v>70</v>
      </c>
      <c r="C106" s="15"/>
      <c r="D106" s="13" t="s">
        <v>30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16">
        <f>IFERROR(IF(COUNT(E106:P106)&lt;1,0,IF(COUNT(E107:P107)&gt;=COUNT(E106:P106),1,(COUNT(E107:P107)/COUNT(E106:P106)))),0)</f>
        <v>0</v>
      </c>
      <c r="R106" s="29"/>
      <c r="S106" s="17" t="s">
        <v>51</v>
      </c>
      <c r="T106" s="18" t="s">
        <v>64</v>
      </c>
      <c r="U106" s="19"/>
    </row>
    <row r="107" spans="1:21" s="1" customFormat="1" ht="24" customHeight="1" x14ac:dyDescent="0.2">
      <c r="A107" s="90"/>
      <c r="B107" s="15"/>
      <c r="C107" s="15"/>
      <c r="D107" s="8" t="s">
        <v>31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6"/>
      <c r="R107" s="29"/>
      <c r="S107" s="17"/>
      <c r="T107" s="18"/>
      <c r="U107" s="19"/>
    </row>
    <row r="108" spans="1:21" s="1" customFormat="1" ht="24" customHeight="1" x14ac:dyDescent="0.2">
      <c r="A108" s="90"/>
      <c r="B108" s="15" t="s">
        <v>171</v>
      </c>
      <c r="C108" s="15"/>
      <c r="D108" s="13" t="s">
        <v>30</v>
      </c>
      <c r="E108" s="7">
        <v>1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6">
        <f>IFERROR(IF(COUNT(E108:P108)&lt;1,0,IF(COUNT(E109:P109)&gt;=COUNT(E108:P108),1,(COUNT(E109:P109)/COUNT(E108:P108)))),0)</f>
        <v>0</v>
      </c>
      <c r="R108" s="29"/>
      <c r="S108" s="17" t="s">
        <v>51</v>
      </c>
      <c r="T108" s="18" t="s">
        <v>172</v>
      </c>
      <c r="U108" s="19"/>
    </row>
    <row r="109" spans="1:21" s="1" customFormat="1" ht="24" customHeight="1" x14ac:dyDescent="0.2">
      <c r="A109" s="90"/>
      <c r="B109" s="15"/>
      <c r="C109" s="15"/>
      <c r="D109" s="8" t="s">
        <v>31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6"/>
      <c r="R109" s="29"/>
      <c r="S109" s="17"/>
      <c r="T109" s="18"/>
      <c r="U109" s="19"/>
    </row>
    <row r="110" spans="1:21" s="1" customFormat="1" ht="24" customHeight="1" x14ac:dyDescent="0.2">
      <c r="A110" s="90"/>
      <c r="B110" s="15" t="s">
        <v>173</v>
      </c>
      <c r="C110" s="15"/>
      <c r="D110" s="13" t="s">
        <v>30</v>
      </c>
      <c r="E110" s="7">
        <v>1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6">
        <f>IFERROR(IF(COUNT(E110:P110)&lt;1,0,IF(COUNT(E111:P111)&gt;=COUNT(E110:P110),1,(COUNT(E111:P111)/COUNT(E110:P110)))),0)</f>
        <v>0</v>
      </c>
      <c r="R110" s="29"/>
      <c r="S110" s="17" t="s">
        <v>51</v>
      </c>
      <c r="T110" s="18" t="s">
        <v>174</v>
      </c>
      <c r="U110" s="19"/>
    </row>
    <row r="111" spans="1:21" s="1" customFormat="1" ht="24" customHeight="1" x14ac:dyDescent="0.2">
      <c r="A111" s="90"/>
      <c r="B111" s="15"/>
      <c r="C111" s="15"/>
      <c r="D111" s="8" t="s">
        <v>31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6"/>
      <c r="R111" s="29"/>
      <c r="S111" s="17"/>
      <c r="T111" s="18"/>
      <c r="U111" s="19"/>
    </row>
    <row r="112" spans="1:21" s="1" customFormat="1" ht="24" customHeight="1" x14ac:dyDescent="0.2">
      <c r="A112" s="90"/>
      <c r="B112" s="15" t="s">
        <v>175</v>
      </c>
      <c r="C112" s="15"/>
      <c r="D112" s="13" t="s">
        <v>30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>
        <v>1</v>
      </c>
      <c r="Q112" s="16">
        <f>IFERROR(IF(COUNT(E112:P112)&lt;1,0,IF(COUNT(E113:P113)&gt;=COUNT(E112:P112),1,(COUNT(E113:P113)/COUNT(E112:P112)))),0)</f>
        <v>0</v>
      </c>
      <c r="R112" s="29"/>
      <c r="S112" s="17" t="s">
        <v>51</v>
      </c>
      <c r="T112" s="18" t="s">
        <v>176</v>
      </c>
      <c r="U112" s="19"/>
    </row>
    <row r="113" spans="1:21" s="1" customFormat="1" ht="24" customHeight="1" x14ac:dyDescent="0.2">
      <c r="A113" s="90"/>
      <c r="B113" s="15"/>
      <c r="C113" s="15"/>
      <c r="D113" s="8" t="s">
        <v>31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6"/>
      <c r="R113" s="29"/>
      <c r="S113" s="17"/>
      <c r="T113" s="18"/>
      <c r="U113" s="19"/>
    </row>
    <row r="114" spans="1:21" s="1" customFormat="1" ht="24" customHeight="1" x14ac:dyDescent="0.2">
      <c r="A114" s="90"/>
      <c r="B114" s="15" t="s">
        <v>178</v>
      </c>
      <c r="C114" s="15"/>
      <c r="D114" s="13" t="s">
        <v>30</v>
      </c>
      <c r="E114" s="7">
        <v>1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6">
        <f>IFERROR(IF(COUNT(E114:P114)&lt;1,0,IF(COUNT(E115:P115)&gt;=COUNT(E114:P114),1,(COUNT(E115:P115)/COUNT(E114:P114)))),0)</f>
        <v>0</v>
      </c>
      <c r="R114" s="29"/>
      <c r="S114" s="17" t="s">
        <v>92</v>
      </c>
      <c r="T114" s="18" t="s">
        <v>177</v>
      </c>
      <c r="U114" s="19"/>
    </row>
    <row r="115" spans="1:21" s="1" customFormat="1" ht="24" customHeight="1" x14ac:dyDescent="0.2">
      <c r="A115" s="90"/>
      <c r="B115" s="15"/>
      <c r="C115" s="15"/>
      <c r="D115" s="8" t="s">
        <v>31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6"/>
      <c r="R115" s="29"/>
      <c r="S115" s="17"/>
      <c r="T115" s="18"/>
      <c r="U115" s="19"/>
    </row>
    <row r="116" spans="1:21" s="1" customFormat="1" ht="41.25" customHeight="1" x14ac:dyDescent="0.2">
      <c r="A116" s="90"/>
      <c r="B116" s="15" t="s">
        <v>71</v>
      </c>
      <c r="C116" s="15"/>
      <c r="D116" s="13" t="s">
        <v>30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6">
        <f>IFERROR(IF(COUNT(E116:P116)&lt;1,0,IF(COUNT(E117:P117)&gt;=COUNT(E116:P116),1,(COUNT(E117:P117)/COUNT(E116:P116)))),0)</f>
        <v>0</v>
      </c>
      <c r="R116" s="29"/>
      <c r="S116" s="17" t="s">
        <v>93</v>
      </c>
      <c r="T116" s="18" t="s">
        <v>72</v>
      </c>
      <c r="U116" s="19" t="s">
        <v>60</v>
      </c>
    </row>
    <row r="117" spans="1:21" s="1" customFormat="1" ht="41.25" customHeight="1" x14ac:dyDescent="0.2">
      <c r="A117" s="90"/>
      <c r="B117" s="15"/>
      <c r="C117" s="15"/>
      <c r="D117" s="8" t="s">
        <v>31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6"/>
      <c r="R117" s="29"/>
      <c r="S117" s="17"/>
      <c r="T117" s="18"/>
      <c r="U117" s="19"/>
    </row>
    <row r="118" spans="1:21" s="1" customFormat="1" ht="37.5" customHeight="1" x14ac:dyDescent="0.2">
      <c r="A118" s="90"/>
      <c r="B118" s="15" t="s">
        <v>108</v>
      </c>
      <c r="C118" s="15"/>
      <c r="D118" s="13" t="s">
        <v>30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16">
        <f>IFERROR(IF(COUNT(E118:P118)&lt;1,0,IF(COUNT(E119:P119)&gt;=COUNT(E118:P118),1,(COUNT(E119:P119)/COUNT(E118:P118)))),0)</f>
        <v>0</v>
      </c>
      <c r="R118" s="29"/>
      <c r="S118" s="17" t="s">
        <v>96</v>
      </c>
      <c r="T118" s="18" t="s">
        <v>97</v>
      </c>
      <c r="U118" s="20"/>
    </row>
    <row r="119" spans="1:21" s="1" customFormat="1" ht="37.5" customHeight="1" x14ac:dyDescent="0.2">
      <c r="A119" s="90"/>
      <c r="B119" s="15"/>
      <c r="C119" s="15"/>
      <c r="D119" s="8" t="s">
        <v>31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6"/>
      <c r="R119" s="29"/>
      <c r="S119" s="17"/>
      <c r="T119" s="18"/>
      <c r="U119" s="20"/>
    </row>
    <row r="120" spans="1:21" s="1" customFormat="1" ht="37.5" customHeight="1" x14ac:dyDescent="0.2">
      <c r="A120" s="90"/>
      <c r="B120" s="15" t="s">
        <v>107</v>
      </c>
      <c r="C120" s="15"/>
      <c r="D120" s="13" t="s">
        <v>30</v>
      </c>
      <c r="E120" s="7">
        <v>1</v>
      </c>
      <c r="F120" s="7">
        <v>1</v>
      </c>
      <c r="G120" s="7">
        <v>1</v>
      </c>
      <c r="H120" s="7">
        <v>1</v>
      </c>
      <c r="I120" s="7">
        <v>1</v>
      </c>
      <c r="J120" s="7">
        <v>1</v>
      </c>
      <c r="K120" s="7">
        <v>1</v>
      </c>
      <c r="L120" s="7">
        <v>1</v>
      </c>
      <c r="M120" s="7">
        <v>1</v>
      </c>
      <c r="N120" s="7">
        <v>1</v>
      </c>
      <c r="O120" s="7">
        <v>1</v>
      </c>
      <c r="P120" s="7">
        <v>1</v>
      </c>
      <c r="Q120" s="16">
        <f>IFERROR(IF(COUNT(E120:P120)&lt;1,0,IF(COUNT(E121:P121)&gt;=COUNT(E120:P120),1,(COUNT(E121:P121)/COUNT(E120:P120)))),0)</f>
        <v>0</v>
      </c>
      <c r="R120" s="29"/>
      <c r="S120" s="17" t="s">
        <v>96</v>
      </c>
      <c r="T120" s="18" t="s">
        <v>97</v>
      </c>
      <c r="U120" s="20"/>
    </row>
    <row r="121" spans="1:21" s="1" customFormat="1" ht="37.5" customHeight="1" x14ac:dyDescent="0.2">
      <c r="A121" s="90"/>
      <c r="B121" s="15"/>
      <c r="C121" s="15"/>
      <c r="D121" s="8" t="s">
        <v>31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6"/>
      <c r="R121" s="29"/>
      <c r="S121" s="17"/>
      <c r="T121" s="18"/>
      <c r="U121" s="20"/>
    </row>
    <row r="122" spans="1:21" s="1" customFormat="1" ht="37.5" customHeight="1" x14ac:dyDescent="0.2">
      <c r="A122" s="90"/>
      <c r="B122" s="15" t="s">
        <v>106</v>
      </c>
      <c r="C122" s="15"/>
      <c r="D122" s="13" t="s">
        <v>30</v>
      </c>
      <c r="E122" s="7">
        <v>1</v>
      </c>
      <c r="F122" s="7">
        <v>1</v>
      </c>
      <c r="G122" s="7">
        <v>1</v>
      </c>
      <c r="H122" s="7">
        <v>1</v>
      </c>
      <c r="I122" s="7">
        <v>1</v>
      </c>
      <c r="J122" s="7">
        <v>1</v>
      </c>
      <c r="K122" s="7">
        <v>1</v>
      </c>
      <c r="L122" s="7">
        <v>1</v>
      </c>
      <c r="M122" s="7">
        <v>1</v>
      </c>
      <c r="N122" s="7">
        <v>1</v>
      </c>
      <c r="O122" s="7">
        <v>1</v>
      </c>
      <c r="P122" s="7">
        <v>1</v>
      </c>
      <c r="Q122" s="16">
        <f>IFERROR(IF(COUNT(E122:P122)&lt;1,0,IF(COUNT(E123:P123)&gt;=COUNT(E122:P122),1,(COUNT(E123:P123)/COUNT(E122:P122)))),0)</f>
        <v>0</v>
      </c>
      <c r="R122" s="29"/>
      <c r="S122" s="17" t="s">
        <v>96</v>
      </c>
      <c r="T122" s="18" t="s">
        <v>97</v>
      </c>
      <c r="U122" s="20"/>
    </row>
    <row r="123" spans="1:21" s="1" customFormat="1" ht="37.5" customHeight="1" x14ac:dyDescent="0.2">
      <c r="A123" s="90"/>
      <c r="B123" s="15"/>
      <c r="C123" s="15"/>
      <c r="D123" s="8" t="s">
        <v>31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6"/>
      <c r="R123" s="29"/>
      <c r="S123" s="17"/>
      <c r="T123" s="18"/>
      <c r="U123" s="20"/>
    </row>
    <row r="124" spans="1:21" s="1" customFormat="1" ht="37.5" customHeight="1" x14ac:dyDescent="0.2">
      <c r="A124" s="90"/>
      <c r="B124" s="15" t="s">
        <v>105</v>
      </c>
      <c r="C124" s="15"/>
      <c r="D124" s="13" t="s">
        <v>30</v>
      </c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7">
        <v>1</v>
      </c>
      <c r="O124" s="7">
        <v>1</v>
      </c>
      <c r="P124" s="7">
        <v>1</v>
      </c>
      <c r="Q124" s="16">
        <f>IFERROR(IF(COUNT(E124:P124)&lt;1,0,IF(COUNT(E125:P125)&gt;=COUNT(E124:P124),1,(COUNT(E125:P125)/COUNT(E124:P124)))),0)</f>
        <v>0</v>
      </c>
      <c r="R124" s="29"/>
      <c r="S124" s="17" t="s">
        <v>96</v>
      </c>
      <c r="T124" s="18" t="s">
        <v>97</v>
      </c>
      <c r="U124" s="20"/>
    </row>
    <row r="125" spans="1:21" s="1" customFormat="1" ht="37.5" customHeight="1" x14ac:dyDescent="0.2">
      <c r="A125" s="90"/>
      <c r="B125" s="15"/>
      <c r="C125" s="15"/>
      <c r="D125" s="8" t="s">
        <v>31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6"/>
      <c r="R125" s="29"/>
      <c r="S125" s="17"/>
      <c r="T125" s="18"/>
      <c r="U125" s="20"/>
    </row>
    <row r="126" spans="1:21" s="1" customFormat="1" ht="37.5" customHeight="1" x14ac:dyDescent="0.2">
      <c r="A126" s="90"/>
      <c r="B126" s="15" t="s">
        <v>104</v>
      </c>
      <c r="C126" s="15"/>
      <c r="D126" s="13" t="s">
        <v>30</v>
      </c>
      <c r="E126" s="7">
        <v>1</v>
      </c>
      <c r="F126" s="7">
        <v>1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  <c r="M126" s="7">
        <v>1</v>
      </c>
      <c r="N126" s="7">
        <v>1</v>
      </c>
      <c r="O126" s="7">
        <v>1</v>
      </c>
      <c r="P126" s="7">
        <v>1</v>
      </c>
      <c r="Q126" s="16">
        <f>IFERROR(IF(COUNT(E126:P126)&lt;1,0,IF(COUNT(E127:P127)&gt;=COUNT(E126:P126),1,(COUNT(E127:P127)/COUNT(E126:P126)))),0)</f>
        <v>0</v>
      </c>
      <c r="R126" s="29"/>
      <c r="S126" s="17" t="s">
        <v>96</v>
      </c>
      <c r="T126" s="18" t="s">
        <v>97</v>
      </c>
      <c r="U126" s="20"/>
    </row>
    <row r="127" spans="1:21" s="1" customFormat="1" ht="37.5" customHeight="1" x14ac:dyDescent="0.2">
      <c r="A127" s="90"/>
      <c r="B127" s="15"/>
      <c r="C127" s="15"/>
      <c r="D127" s="8" t="s">
        <v>31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6"/>
      <c r="R127" s="29"/>
      <c r="S127" s="17"/>
      <c r="T127" s="18"/>
      <c r="U127" s="20"/>
    </row>
    <row r="128" spans="1:21" s="1" customFormat="1" ht="37.5" customHeight="1" x14ac:dyDescent="0.2">
      <c r="A128" s="90"/>
      <c r="B128" s="15" t="s">
        <v>222</v>
      </c>
      <c r="C128" s="15"/>
      <c r="D128" s="13" t="s">
        <v>30</v>
      </c>
      <c r="E128" s="7">
        <v>1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6">
        <f>IFERROR(IF(COUNT(E128:P128)&lt;1,0,IF(COUNT(E129:P129)&gt;=COUNT(E128:P128),1,(COUNT(E129:P129)/COUNT(E128:P128)))),0)</f>
        <v>0</v>
      </c>
      <c r="R128" s="29"/>
      <c r="S128" s="17" t="s">
        <v>96</v>
      </c>
      <c r="T128" s="18" t="s">
        <v>97</v>
      </c>
      <c r="U128" s="20"/>
    </row>
    <row r="129" spans="1:21" s="1" customFormat="1" ht="37.5" customHeight="1" x14ac:dyDescent="0.2">
      <c r="A129" s="90"/>
      <c r="B129" s="15"/>
      <c r="C129" s="15"/>
      <c r="D129" s="8" t="s">
        <v>31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6"/>
      <c r="R129" s="29"/>
      <c r="S129" s="17"/>
      <c r="T129" s="18"/>
      <c r="U129" s="20"/>
    </row>
    <row r="130" spans="1:21" s="1" customFormat="1" ht="37.5" customHeight="1" x14ac:dyDescent="0.2">
      <c r="A130" s="90"/>
      <c r="B130" s="15" t="s">
        <v>95</v>
      </c>
      <c r="C130" s="15"/>
      <c r="D130" s="13" t="s">
        <v>30</v>
      </c>
      <c r="E130" s="7">
        <v>1</v>
      </c>
      <c r="F130" s="7">
        <v>1</v>
      </c>
      <c r="G130" s="7">
        <v>1</v>
      </c>
      <c r="H130" s="7">
        <v>1</v>
      </c>
      <c r="I130" s="7">
        <v>1</v>
      </c>
      <c r="J130" s="7">
        <v>1</v>
      </c>
      <c r="K130" s="7">
        <v>1</v>
      </c>
      <c r="L130" s="7">
        <v>1</v>
      </c>
      <c r="M130" s="7">
        <v>1</v>
      </c>
      <c r="N130" s="7">
        <v>1</v>
      </c>
      <c r="O130" s="7">
        <v>1</v>
      </c>
      <c r="P130" s="7">
        <v>1</v>
      </c>
      <c r="Q130" s="16">
        <f>IFERROR(IF(COUNT(E130:P130)&lt;1,0,IF(COUNT(E131:P131)&gt;=COUNT(E130:P130),1,(COUNT(E131:P131)/COUNT(E130:P130)))),0)</f>
        <v>0</v>
      </c>
      <c r="R130" s="29"/>
      <c r="S130" s="17" t="s">
        <v>179</v>
      </c>
      <c r="T130" s="18" t="s">
        <v>97</v>
      </c>
      <c r="U130" s="20"/>
    </row>
    <row r="131" spans="1:21" s="1" customFormat="1" ht="37.5" customHeight="1" x14ac:dyDescent="0.2">
      <c r="A131" s="90"/>
      <c r="B131" s="15"/>
      <c r="C131" s="15"/>
      <c r="D131" s="8" t="s">
        <v>31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6"/>
      <c r="R131" s="29"/>
      <c r="S131" s="17"/>
      <c r="T131" s="18"/>
      <c r="U131" s="20"/>
    </row>
    <row r="132" spans="1:21" s="1" customFormat="1" ht="37.5" customHeight="1" x14ac:dyDescent="0.2">
      <c r="A132" s="90"/>
      <c r="B132" s="15" t="s">
        <v>181</v>
      </c>
      <c r="C132" s="15"/>
      <c r="D132" s="13" t="s">
        <v>30</v>
      </c>
      <c r="E132" s="7">
        <v>1</v>
      </c>
      <c r="F132" s="7">
        <v>1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1</v>
      </c>
      <c r="M132" s="7">
        <v>1</v>
      </c>
      <c r="N132" s="7">
        <v>1</v>
      </c>
      <c r="O132" s="7">
        <v>1</v>
      </c>
      <c r="P132" s="7">
        <v>1</v>
      </c>
      <c r="Q132" s="16">
        <f>IFERROR(IF(COUNT(E132:P132)&lt;1,0,IF(COUNT(E133:P133)&gt;=COUNT(E132:P132),1,(COUNT(E133:P133)/COUNT(E132:P132)))),0)</f>
        <v>0</v>
      </c>
      <c r="R132" s="29"/>
      <c r="S132" s="17" t="s">
        <v>54</v>
      </c>
      <c r="T132" s="18" t="s">
        <v>180</v>
      </c>
      <c r="U132" s="20"/>
    </row>
    <row r="133" spans="1:21" s="1" customFormat="1" ht="37.5" customHeight="1" x14ac:dyDescent="0.2">
      <c r="A133" s="90"/>
      <c r="B133" s="15"/>
      <c r="C133" s="15"/>
      <c r="D133" s="8" t="s">
        <v>31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6"/>
      <c r="R133" s="29"/>
      <c r="S133" s="17"/>
      <c r="T133" s="18"/>
      <c r="U133" s="20"/>
    </row>
    <row r="134" spans="1:21" s="1" customFormat="1" ht="37.5" customHeight="1" x14ac:dyDescent="0.2">
      <c r="A134" s="90"/>
      <c r="B134" s="15" t="s">
        <v>182</v>
      </c>
      <c r="C134" s="15"/>
      <c r="D134" s="13" t="s">
        <v>30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6">
        <f>IFERROR(IF(COUNT(E134:P134)&lt;1,0,IF(COUNT(E135:P135)&gt;=COUNT(E134:P134),1,(COUNT(E135:P135)/COUNT(E134:P134)))),0)</f>
        <v>0</v>
      </c>
      <c r="R134" s="29"/>
      <c r="S134" s="17" t="s">
        <v>54</v>
      </c>
      <c r="T134" s="18" t="s">
        <v>183</v>
      </c>
      <c r="U134" s="20" t="s">
        <v>60</v>
      </c>
    </row>
    <row r="135" spans="1:21" s="1" customFormat="1" ht="37.5" customHeight="1" x14ac:dyDescent="0.2">
      <c r="A135" s="90"/>
      <c r="B135" s="15"/>
      <c r="C135" s="15"/>
      <c r="D135" s="8" t="s">
        <v>31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6"/>
      <c r="R135" s="29"/>
      <c r="S135" s="17"/>
      <c r="T135" s="18"/>
      <c r="U135" s="20"/>
    </row>
    <row r="136" spans="1:21" s="1" customFormat="1" ht="37.5" customHeight="1" x14ac:dyDescent="0.2">
      <c r="A136" s="90"/>
      <c r="B136" s="15" t="s">
        <v>184</v>
      </c>
      <c r="C136" s="15"/>
      <c r="D136" s="13" t="s">
        <v>30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>
        <v>1</v>
      </c>
      <c r="Q136" s="16">
        <f>IFERROR(IF(COUNT(E136:P136)&lt;1,0,IF(COUNT(E137:P137)&gt;=COUNT(E136:P136),1,(COUNT(E137:P137)/COUNT(E136:P136)))),0)</f>
        <v>0</v>
      </c>
      <c r="R136" s="29"/>
      <c r="S136" s="17" t="s">
        <v>195</v>
      </c>
      <c r="T136" s="18" t="s">
        <v>196</v>
      </c>
      <c r="U136" s="20"/>
    </row>
    <row r="137" spans="1:21" s="1" customFormat="1" ht="37.5" customHeight="1" x14ac:dyDescent="0.2">
      <c r="A137" s="90"/>
      <c r="B137" s="15"/>
      <c r="C137" s="15"/>
      <c r="D137" s="8" t="s">
        <v>31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6"/>
      <c r="R137" s="29"/>
      <c r="S137" s="17"/>
      <c r="T137" s="18"/>
      <c r="U137" s="20"/>
    </row>
    <row r="138" spans="1:21" s="1" customFormat="1" ht="37.5" customHeight="1" x14ac:dyDescent="0.2">
      <c r="A138" s="90"/>
      <c r="B138" s="15" t="s">
        <v>189</v>
      </c>
      <c r="C138" s="15"/>
      <c r="D138" s="13" t="s">
        <v>30</v>
      </c>
      <c r="E138" s="7">
        <v>1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6">
        <f>IFERROR(IF(COUNT(E138:P138)&lt;1,0,IF(COUNT(E139:P139)&gt;=COUNT(E138:P138),1,(COUNT(E139:P139)/COUNT(E138:P138)))),0)</f>
        <v>0</v>
      </c>
      <c r="R138" s="29"/>
      <c r="S138" s="17" t="s">
        <v>185</v>
      </c>
      <c r="T138" s="18" t="s">
        <v>186</v>
      </c>
      <c r="U138" s="20"/>
    </row>
    <row r="139" spans="1:21" s="1" customFormat="1" ht="37.5" customHeight="1" x14ac:dyDescent="0.2">
      <c r="A139" s="90"/>
      <c r="B139" s="15"/>
      <c r="C139" s="15"/>
      <c r="D139" s="8" t="s">
        <v>31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6"/>
      <c r="R139" s="29"/>
      <c r="S139" s="17"/>
      <c r="T139" s="18"/>
      <c r="U139" s="20"/>
    </row>
    <row r="140" spans="1:21" s="1" customFormat="1" ht="37.5" customHeight="1" x14ac:dyDescent="0.2">
      <c r="A140" s="90"/>
      <c r="B140" s="15" t="s">
        <v>187</v>
      </c>
      <c r="C140" s="15"/>
      <c r="D140" s="13" t="s">
        <v>30</v>
      </c>
      <c r="E140" s="7">
        <v>1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6">
        <f>IFERROR(IF(COUNT(E140:P140)&lt;1,0,IF(COUNT(E141:P141)&gt;=COUNT(E140:P140),1,(COUNT(E141:P141)/COUNT(E140:P140)))),0)</f>
        <v>0</v>
      </c>
      <c r="R140" s="29"/>
      <c r="S140" s="17" t="s">
        <v>185</v>
      </c>
      <c r="T140" s="18" t="s">
        <v>188</v>
      </c>
      <c r="U140" s="20"/>
    </row>
    <row r="141" spans="1:21" s="1" customFormat="1" ht="37.5" customHeight="1" x14ac:dyDescent="0.2">
      <c r="A141" s="90"/>
      <c r="B141" s="15"/>
      <c r="C141" s="15"/>
      <c r="D141" s="8" t="s">
        <v>31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6"/>
      <c r="R141" s="29"/>
      <c r="S141" s="17"/>
      <c r="T141" s="18"/>
      <c r="U141" s="20"/>
    </row>
    <row r="142" spans="1:21" s="1" customFormat="1" ht="37.5" customHeight="1" x14ac:dyDescent="0.2">
      <c r="A142" s="90"/>
      <c r="B142" s="15" t="s">
        <v>190</v>
      </c>
      <c r="C142" s="15"/>
      <c r="D142" s="13" t="s">
        <v>30</v>
      </c>
      <c r="E142" s="7">
        <v>1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6">
        <f>IFERROR(IF(COUNT(E142:P142)&lt;1,0,IF(COUNT(E143:P143)&gt;=COUNT(E142:P142),1,(COUNT(E143:P143)/COUNT(E142:P142)))),0)</f>
        <v>0</v>
      </c>
      <c r="R142" s="29"/>
      <c r="S142" s="17" t="s">
        <v>185</v>
      </c>
      <c r="T142" s="18" t="s">
        <v>191</v>
      </c>
      <c r="U142" s="20"/>
    </row>
    <row r="143" spans="1:21" s="1" customFormat="1" ht="37.5" customHeight="1" x14ac:dyDescent="0.2">
      <c r="A143" s="90"/>
      <c r="B143" s="15"/>
      <c r="C143" s="15"/>
      <c r="D143" s="8" t="s">
        <v>31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6"/>
      <c r="R143" s="29"/>
      <c r="S143" s="17"/>
      <c r="T143" s="18"/>
      <c r="U143" s="20"/>
    </row>
    <row r="144" spans="1:21" s="1" customFormat="1" ht="37.5" customHeight="1" x14ac:dyDescent="0.2">
      <c r="A144" s="90"/>
      <c r="B144" s="15" t="s">
        <v>192</v>
      </c>
      <c r="C144" s="15"/>
      <c r="D144" s="13" t="s">
        <v>30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>
        <v>1</v>
      </c>
      <c r="Q144" s="16">
        <f>IFERROR(IF(COUNT(E144:P144)&lt;1,0,IF(COUNT(E145:P145)&gt;=COUNT(E144:P144),1,(COUNT(E145:P145)/COUNT(E144:P144)))),0)</f>
        <v>0</v>
      </c>
      <c r="R144" s="29"/>
      <c r="S144" s="17" t="s">
        <v>193</v>
      </c>
      <c r="T144" s="18" t="s">
        <v>194</v>
      </c>
      <c r="U144" s="20"/>
    </row>
    <row r="145" spans="1:21" s="1" customFormat="1" ht="37.5" customHeight="1" x14ac:dyDescent="0.2">
      <c r="A145" s="90"/>
      <c r="B145" s="15"/>
      <c r="C145" s="15"/>
      <c r="D145" s="8" t="s">
        <v>31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6"/>
      <c r="R145" s="29"/>
      <c r="S145" s="17"/>
      <c r="T145" s="18"/>
      <c r="U145" s="20"/>
    </row>
    <row r="146" spans="1:21" s="1" customFormat="1" ht="37.5" customHeight="1" x14ac:dyDescent="0.2">
      <c r="A146" s="90"/>
      <c r="B146" s="15" t="s">
        <v>197</v>
      </c>
      <c r="C146" s="15"/>
      <c r="D146" s="13" t="s">
        <v>30</v>
      </c>
      <c r="E146" s="7"/>
      <c r="F146" s="7">
        <v>1</v>
      </c>
      <c r="G146" s="7"/>
      <c r="H146" s="7">
        <v>1</v>
      </c>
      <c r="I146" s="7"/>
      <c r="J146" s="7">
        <v>1</v>
      </c>
      <c r="K146" s="7"/>
      <c r="L146" s="7">
        <v>1</v>
      </c>
      <c r="M146" s="7"/>
      <c r="N146" s="7">
        <v>1</v>
      </c>
      <c r="O146" s="7"/>
      <c r="P146" s="7">
        <v>1</v>
      </c>
      <c r="Q146" s="16">
        <f>IFERROR(IF(COUNT(E146:P146)&lt;1,0,IF(COUNT(E147:P147)&gt;=COUNT(E146:P146),1,(COUNT(E147:P147)/COUNT(E146:P146)))),0)</f>
        <v>0</v>
      </c>
      <c r="R146" s="29"/>
      <c r="S146" s="17" t="s">
        <v>94</v>
      </c>
      <c r="T146" s="18" t="s">
        <v>198</v>
      </c>
      <c r="U146" s="20"/>
    </row>
    <row r="147" spans="1:21" s="1" customFormat="1" ht="37.5" customHeight="1" x14ac:dyDescent="0.2">
      <c r="A147" s="90"/>
      <c r="B147" s="15"/>
      <c r="C147" s="15"/>
      <c r="D147" s="8" t="s">
        <v>31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6"/>
      <c r="R147" s="29"/>
      <c r="S147" s="17"/>
      <c r="T147" s="18"/>
      <c r="U147" s="20"/>
    </row>
    <row r="148" spans="1:21" s="1" customFormat="1" ht="24" customHeight="1" x14ac:dyDescent="0.2">
      <c r="A148" s="37" t="s">
        <v>21</v>
      </c>
      <c r="B148" s="15" t="s">
        <v>199</v>
      </c>
      <c r="C148" s="15"/>
      <c r="D148" s="13" t="s">
        <v>30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>
        <v>1</v>
      </c>
      <c r="Q148" s="16">
        <f>IFERROR(IF(COUNT(E148:P148)&lt;1,0,IF(COUNT(E149:P149)&gt;=COUNT(E148:P148),1,(COUNT(E149:P149)/COUNT(E148:P148)))),0)</f>
        <v>0</v>
      </c>
      <c r="R148" s="29"/>
      <c r="S148" s="17" t="s">
        <v>86</v>
      </c>
      <c r="T148" s="18" t="s">
        <v>73</v>
      </c>
      <c r="U148" s="19"/>
    </row>
    <row r="149" spans="1:21" s="1" customFormat="1" ht="24" customHeight="1" x14ac:dyDescent="0.2">
      <c r="A149" s="37"/>
      <c r="B149" s="15"/>
      <c r="C149" s="15"/>
      <c r="D149" s="8" t="s">
        <v>31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6"/>
      <c r="R149" s="29"/>
      <c r="S149" s="17"/>
      <c r="T149" s="18"/>
      <c r="U149" s="19"/>
    </row>
    <row r="150" spans="1:21" s="1" customFormat="1" ht="33.75" customHeight="1" x14ac:dyDescent="0.2">
      <c r="A150" s="37"/>
      <c r="B150" s="15" t="s">
        <v>200</v>
      </c>
      <c r="C150" s="15"/>
      <c r="D150" s="13" t="s">
        <v>30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>
        <v>1</v>
      </c>
      <c r="Q150" s="16">
        <f>IFERROR(IF(COUNT(E150:P150)&lt;1,0,IF(COUNT(E151:P151)&gt;=COUNT(E150:P150),1,(COUNT(E151:P151)/COUNT(E150:P150)))),0)</f>
        <v>0</v>
      </c>
      <c r="R150" s="29"/>
      <c r="S150" s="17" t="s">
        <v>86</v>
      </c>
      <c r="T150" s="18" t="s">
        <v>201</v>
      </c>
      <c r="U150" s="19"/>
    </row>
    <row r="151" spans="1:21" s="1" customFormat="1" ht="33.75" customHeight="1" x14ac:dyDescent="0.2">
      <c r="A151" s="37"/>
      <c r="B151" s="15"/>
      <c r="C151" s="15"/>
      <c r="D151" s="8" t="s">
        <v>31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6"/>
      <c r="R151" s="29"/>
      <c r="S151" s="17"/>
      <c r="T151" s="18"/>
      <c r="U151" s="19"/>
    </row>
    <row r="152" spans="1:21" s="1" customFormat="1" ht="44.25" customHeight="1" x14ac:dyDescent="0.2">
      <c r="A152" s="88" t="s">
        <v>22</v>
      </c>
      <c r="B152" s="15" t="s">
        <v>202</v>
      </c>
      <c r="C152" s="15"/>
      <c r="D152" s="13" t="s">
        <v>30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>
        <v>1</v>
      </c>
      <c r="Q152" s="16">
        <f>IFERROR(IF(COUNT(E152:P152)&lt;1,0,IF(COUNT(E153:P153)&gt;=COUNT(E152:P152),1,(COUNT(E153:P153)/COUNT(E152:P152)))),0)</f>
        <v>0</v>
      </c>
      <c r="R152" s="29">
        <f>AVERAGE(Q152:Q159)</f>
        <v>0</v>
      </c>
      <c r="S152" s="17" t="s">
        <v>86</v>
      </c>
      <c r="T152" s="18" t="s">
        <v>75</v>
      </c>
      <c r="U152" s="43"/>
    </row>
    <row r="153" spans="1:21" s="1" customFormat="1" ht="44.25" customHeight="1" x14ac:dyDescent="0.2">
      <c r="A153" s="89"/>
      <c r="B153" s="15"/>
      <c r="C153" s="15"/>
      <c r="D153" s="8" t="s">
        <v>31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6"/>
      <c r="R153" s="29"/>
      <c r="S153" s="17"/>
      <c r="T153" s="18"/>
      <c r="U153" s="43"/>
    </row>
    <row r="154" spans="1:21" s="1" customFormat="1" ht="24" customHeight="1" x14ac:dyDescent="0.2">
      <c r="A154" s="89"/>
      <c r="B154" s="15" t="s">
        <v>76</v>
      </c>
      <c r="C154" s="15"/>
      <c r="D154" s="13" t="s">
        <v>30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>
        <v>1</v>
      </c>
      <c r="Q154" s="16">
        <f>IFERROR(IF(COUNT(E154:P154)&lt;1,0,IF(COUNT(E155:P155)&gt;=COUNT(E154:P154),1,(COUNT(E155:P155)/COUNT(E154:P154)))),0)</f>
        <v>0</v>
      </c>
      <c r="R154" s="29"/>
      <c r="S154" s="17" t="s">
        <v>54</v>
      </c>
      <c r="T154" s="18" t="s">
        <v>77</v>
      </c>
      <c r="U154" s="43"/>
    </row>
    <row r="155" spans="1:21" s="1" customFormat="1" ht="24" customHeight="1" x14ac:dyDescent="0.2">
      <c r="A155" s="89"/>
      <c r="B155" s="15"/>
      <c r="C155" s="15"/>
      <c r="D155" s="8" t="s">
        <v>31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6"/>
      <c r="R155" s="29"/>
      <c r="S155" s="17"/>
      <c r="T155" s="18"/>
      <c r="U155" s="43"/>
    </row>
    <row r="156" spans="1:21" s="1" customFormat="1" ht="57.75" customHeight="1" x14ac:dyDescent="0.2">
      <c r="A156" s="89"/>
      <c r="B156" s="15" t="s">
        <v>78</v>
      </c>
      <c r="C156" s="15"/>
      <c r="D156" s="13" t="s">
        <v>30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6">
        <f>IFERROR(IF(COUNT(E156:P156)&lt;1,0,IF(COUNT(E157:P157)&gt;=COUNT(E156:P156),1,(COUNT(E157:P157)/COUNT(E156:P156)))),0)</f>
        <v>0</v>
      </c>
      <c r="R156" s="29"/>
      <c r="S156" s="17" t="s">
        <v>86</v>
      </c>
      <c r="T156" s="18" t="s">
        <v>79</v>
      </c>
      <c r="U156" s="20" t="s">
        <v>80</v>
      </c>
    </row>
    <row r="157" spans="1:21" s="1" customFormat="1" ht="57.75" customHeight="1" x14ac:dyDescent="0.2">
      <c r="A157" s="89"/>
      <c r="B157" s="15"/>
      <c r="C157" s="15"/>
      <c r="D157" s="8" t="s">
        <v>31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6"/>
      <c r="R157" s="29"/>
      <c r="S157" s="17"/>
      <c r="T157" s="18"/>
      <c r="U157" s="20"/>
    </row>
    <row r="158" spans="1:21" s="1" customFormat="1" ht="44.25" customHeight="1" x14ac:dyDescent="0.2">
      <c r="A158" s="89"/>
      <c r="B158" s="15" t="s">
        <v>223</v>
      </c>
      <c r="C158" s="15"/>
      <c r="D158" s="13" t="s">
        <v>30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>
        <v>1</v>
      </c>
      <c r="Q158" s="16">
        <f>IFERROR(IF(COUNT(E158:P158)&lt;1,0,IF(COUNT(E159:P159)&gt;=COUNT(E158:P158),1,(COUNT(E159:P159)/COUNT(E158:P158)))),0)</f>
        <v>0</v>
      </c>
      <c r="R158" s="29"/>
      <c r="S158" s="17" t="s">
        <v>74</v>
      </c>
      <c r="T158" s="18" t="s">
        <v>203</v>
      </c>
      <c r="U158" s="43"/>
    </row>
    <row r="159" spans="1:21" s="1" customFormat="1" ht="44.25" customHeight="1" x14ac:dyDescent="0.2">
      <c r="A159" s="89"/>
      <c r="B159" s="15"/>
      <c r="C159" s="15"/>
      <c r="D159" s="8" t="s">
        <v>31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6"/>
      <c r="R159" s="29"/>
      <c r="S159" s="17"/>
      <c r="T159" s="18"/>
      <c r="U159" s="43"/>
    </row>
    <row r="160" spans="1:21" s="1" customFormat="1" ht="24" customHeight="1" x14ac:dyDescent="0.2">
      <c r="A160" s="39" t="s">
        <v>28</v>
      </c>
      <c r="B160" s="39"/>
      <c r="C160" s="39"/>
      <c r="D160" s="39"/>
      <c r="E160" s="7">
        <f>SUMIF($D$16:$D$159,"P*",E16:E159)</f>
        <v>35</v>
      </c>
      <c r="F160" s="7">
        <f>SUMIF($D$16:$D$159,"P*",F16:F159)</f>
        <v>19</v>
      </c>
      <c r="G160" s="7">
        <f>SUMIF($D$16:$D$159,"P*",G16:G159)</f>
        <v>18</v>
      </c>
      <c r="H160" s="7">
        <f>SUMIF($D$16:$D$159,"P*",H16:H159)</f>
        <v>20</v>
      </c>
      <c r="I160" s="7">
        <f>SUMIF($D$16:$D$159,"P*",I16:I159)</f>
        <v>18</v>
      </c>
      <c r="J160" s="7">
        <f>SUMIF($D$16:$D$159,"P*",J16:J159)</f>
        <v>19</v>
      </c>
      <c r="K160" s="7">
        <f>SUMIF($D$16:$D$159,"P*",K16:K159)</f>
        <v>19</v>
      </c>
      <c r="L160" s="7">
        <f>SUMIF($D$16:$D$159,"P*",L16:L159)</f>
        <v>19</v>
      </c>
      <c r="M160" s="7">
        <f>SUMIF($D$16:$D$159,"P*",M16:M159)</f>
        <v>18</v>
      </c>
      <c r="N160" s="7">
        <f>SUMIF($D$16:$D$159,"P*",N16:N159)</f>
        <v>20</v>
      </c>
      <c r="O160" s="7">
        <f>SUMIF($D$16:$D$159,"P*",O16:O159)</f>
        <v>18</v>
      </c>
      <c r="P160" s="7">
        <f>SUMIF($D$16:$D$159,"P*",P16:P159)</f>
        <v>37</v>
      </c>
      <c r="Q160" s="38">
        <f>SUM(E160:P160)</f>
        <v>260</v>
      </c>
      <c r="R160" s="38"/>
      <c r="S160" s="36"/>
      <c r="T160" s="36"/>
      <c r="U160" s="36"/>
    </row>
    <row r="161" spans="1:21" s="1" customFormat="1" ht="24" customHeight="1" x14ac:dyDescent="0.2">
      <c r="A161" s="39" t="s">
        <v>29</v>
      </c>
      <c r="B161" s="39"/>
      <c r="C161" s="39"/>
      <c r="D161" s="39"/>
      <c r="E161" s="7">
        <f>SUMIF($D$16:$D$159,"E*",E16:E159)</f>
        <v>0</v>
      </c>
      <c r="F161" s="7">
        <f>SUMIF($D$16:$D$159,"E*",F16:F159)</f>
        <v>0</v>
      </c>
      <c r="G161" s="7">
        <f>SUMIF($D$16:$D$159,"E*",G16:G159)</f>
        <v>0</v>
      </c>
      <c r="H161" s="7">
        <f>SUMIF($D$16:$D$159,"E*",H16:H159)</f>
        <v>0</v>
      </c>
      <c r="I161" s="7">
        <f>SUMIF($D$16:$D$159,"E*",I16:I159)</f>
        <v>0</v>
      </c>
      <c r="J161" s="7">
        <f>SUMIF($D$16:$D$159,"E*",J16:J159)</f>
        <v>0</v>
      </c>
      <c r="K161" s="7">
        <f>SUMIF($D$16:$D$159,"E*",K16:K159)</f>
        <v>0</v>
      </c>
      <c r="L161" s="7">
        <f>SUMIF($D$16:$D$159,"E*",L16:L159)</f>
        <v>0</v>
      </c>
      <c r="M161" s="7">
        <f>SUMIF($D$16:$D$159,"E*",M16:M159)</f>
        <v>0</v>
      </c>
      <c r="N161" s="7">
        <f>SUMIF($D$16:$D$159,"E*",N16:N159)</f>
        <v>0</v>
      </c>
      <c r="O161" s="7">
        <f>SUMIF($D$16:$D$159,"E*",O16:O159)</f>
        <v>0</v>
      </c>
      <c r="P161" s="7">
        <f>SUMIF($D$16:$D$159,"E*",P16:P159)</f>
        <v>0</v>
      </c>
      <c r="Q161" s="38">
        <f>SUM(E161:P161)</f>
        <v>0</v>
      </c>
      <c r="R161" s="38"/>
      <c r="S161" s="36"/>
      <c r="T161" s="36"/>
      <c r="U161" s="36"/>
    </row>
    <row r="162" spans="1:21" s="1" customFormat="1" ht="20.25" customHeight="1" x14ac:dyDescent="0.2">
      <c r="A162" s="42" t="s">
        <v>32</v>
      </c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 spans="1:21" ht="31.5" customHeight="1" x14ac:dyDescent="0.2">
      <c r="A163" s="39" t="s">
        <v>14</v>
      </c>
      <c r="B163" s="39"/>
      <c r="C163" s="39"/>
      <c r="D163" s="39"/>
      <c r="E163" s="39" t="s">
        <v>15</v>
      </c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 t="s">
        <v>0</v>
      </c>
      <c r="T163" s="39"/>
      <c r="U163" s="39"/>
    </row>
    <row r="164" spans="1:21" ht="51" customHeight="1" x14ac:dyDescent="0.2">
      <c r="A164" s="40" t="s">
        <v>44</v>
      </c>
      <c r="B164" s="40"/>
      <c r="C164" s="40"/>
      <c r="D164" s="40"/>
      <c r="E164" s="20" t="s">
        <v>227</v>
      </c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</row>
    <row r="165" spans="1:21" ht="31.5" customHeight="1" x14ac:dyDescent="0.2">
      <c r="A165" s="41" t="s">
        <v>45</v>
      </c>
      <c r="B165" s="41"/>
      <c r="C165" s="41"/>
      <c r="D165" s="41"/>
      <c r="E165" s="20" t="s">
        <v>82</v>
      </c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</row>
    <row r="166" spans="1:21" ht="21" customHeight="1" x14ac:dyDescent="0.2">
      <c r="A166" s="40" t="s">
        <v>46</v>
      </c>
      <c r="B166" s="40"/>
      <c r="C166" s="40"/>
      <c r="D166" s="40"/>
      <c r="E166" s="20" t="s">
        <v>81</v>
      </c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</row>
    <row r="167" spans="1:21" ht="36.6" customHeight="1" thickBot="1" x14ac:dyDescent="0.25">
      <c r="A167" s="91" t="s">
        <v>33</v>
      </c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3"/>
    </row>
    <row r="168" spans="1:21" ht="19.5" customHeight="1" thickBot="1" x14ac:dyDescent="0.25">
      <c r="A168" s="63" t="s">
        <v>100</v>
      </c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5"/>
      <c r="S168" s="94" t="s">
        <v>40</v>
      </c>
      <c r="T168" s="95"/>
      <c r="U168" s="96"/>
    </row>
    <row r="169" spans="1:21" ht="43.5" customHeight="1" x14ac:dyDescent="0.2">
      <c r="A169" s="85" t="s">
        <v>109</v>
      </c>
      <c r="B169" s="86"/>
      <c r="C169" s="87" t="s">
        <v>34</v>
      </c>
      <c r="D169" s="87"/>
      <c r="E169" s="9" t="s">
        <v>1</v>
      </c>
      <c r="F169" s="9" t="s">
        <v>2</v>
      </c>
      <c r="G169" s="9" t="s">
        <v>3</v>
      </c>
      <c r="H169" s="9" t="s">
        <v>4</v>
      </c>
      <c r="I169" s="9" t="s">
        <v>5</v>
      </c>
      <c r="J169" s="9" t="s">
        <v>6</v>
      </c>
      <c r="K169" s="9" t="s">
        <v>7</v>
      </c>
      <c r="L169" s="9" t="s">
        <v>8</v>
      </c>
      <c r="M169" s="9" t="s">
        <v>9</v>
      </c>
      <c r="N169" s="9" t="s">
        <v>10</v>
      </c>
      <c r="O169" s="9" t="s">
        <v>11</v>
      </c>
      <c r="P169" s="9" t="s">
        <v>12</v>
      </c>
      <c r="Q169" s="87" t="s">
        <v>13</v>
      </c>
      <c r="R169" s="113"/>
      <c r="S169" s="97"/>
      <c r="T169" s="98"/>
      <c r="U169" s="99"/>
    </row>
    <row r="170" spans="1:21" ht="33" customHeight="1" x14ac:dyDescent="0.2">
      <c r="A170" s="72" t="s">
        <v>35</v>
      </c>
      <c r="B170" s="69" t="s">
        <v>48</v>
      </c>
      <c r="C170" s="79" t="s">
        <v>43</v>
      </c>
      <c r="D170" s="80"/>
      <c r="E170" s="11">
        <f>E160</f>
        <v>35</v>
      </c>
      <c r="F170" s="11">
        <f>F160</f>
        <v>19</v>
      </c>
      <c r="G170" s="11">
        <f>G160</f>
        <v>18</v>
      </c>
      <c r="H170" s="11">
        <f>H160</f>
        <v>20</v>
      </c>
      <c r="I170" s="11">
        <f>I160</f>
        <v>18</v>
      </c>
      <c r="J170" s="11">
        <f>J160</f>
        <v>19</v>
      </c>
      <c r="K170" s="11">
        <f>K160</f>
        <v>19</v>
      </c>
      <c r="L170" s="11">
        <f>L160</f>
        <v>19</v>
      </c>
      <c r="M170" s="11">
        <f>M160</f>
        <v>18</v>
      </c>
      <c r="N170" s="11">
        <f>N160</f>
        <v>20</v>
      </c>
      <c r="O170" s="11">
        <f>O160</f>
        <v>18</v>
      </c>
      <c r="P170" s="11">
        <f>P160</f>
        <v>37</v>
      </c>
      <c r="Q170" s="81">
        <f>SUM(E170:P170)</f>
        <v>260</v>
      </c>
      <c r="R170" s="82"/>
      <c r="S170" s="100"/>
      <c r="T170" s="101"/>
      <c r="U170" s="102"/>
    </row>
    <row r="171" spans="1:21" ht="27.6" customHeight="1" x14ac:dyDescent="0.2">
      <c r="A171" s="72"/>
      <c r="B171" s="70"/>
      <c r="C171" s="77" t="s">
        <v>36</v>
      </c>
      <c r="D171" s="78"/>
      <c r="E171" s="10">
        <f>E161</f>
        <v>0</v>
      </c>
      <c r="F171" s="10">
        <f>F161</f>
        <v>0</v>
      </c>
      <c r="G171" s="10">
        <f>G161</f>
        <v>0</v>
      </c>
      <c r="H171" s="10">
        <f>H161</f>
        <v>0</v>
      </c>
      <c r="I171" s="10">
        <f>I161</f>
        <v>0</v>
      </c>
      <c r="J171" s="10">
        <f>J161</f>
        <v>0</v>
      </c>
      <c r="K171" s="10">
        <f>K161</f>
        <v>0</v>
      </c>
      <c r="L171" s="10">
        <f>L161</f>
        <v>0</v>
      </c>
      <c r="M171" s="10">
        <f>M161</f>
        <v>0</v>
      </c>
      <c r="N171" s="10">
        <f>N161</f>
        <v>0</v>
      </c>
      <c r="O171" s="10">
        <f>O161</f>
        <v>0</v>
      </c>
      <c r="P171" s="10">
        <f>P161</f>
        <v>0</v>
      </c>
      <c r="Q171" s="83">
        <f>SUM(E171:P171)</f>
        <v>0</v>
      </c>
      <c r="R171" s="84"/>
      <c r="S171" s="100"/>
      <c r="T171" s="101"/>
      <c r="U171" s="102"/>
    </row>
    <row r="172" spans="1:21" ht="23.25" customHeight="1" x14ac:dyDescent="0.2">
      <c r="A172" s="72"/>
      <c r="B172" s="70"/>
      <c r="C172" s="66" t="s">
        <v>37</v>
      </c>
      <c r="D172" s="67"/>
      <c r="E172" s="12">
        <f>IFERROR(IF(E170&lt;1,"",IF((E171/E170)&gt;1,1,(E171/E170))),0)</f>
        <v>0</v>
      </c>
      <c r="F172" s="12">
        <f t="shared" ref="F172:P172" si="24">IFERROR(IF(F170&lt;1,"",IF((F171/F170)&gt;1,1,(F171/F170))),0)</f>
        <v>0</v>
      </c>
      <c r="G172" s="12">
        <f t="shared" si="24"/>
        <v>0</v>
      </c>
      <c r="H172" s="12">
        <f t="shared" si="24"/>
        <v>0</v>
      </c>
      <c r="I172" s="12">
        <f t="shared" si="24"/>
        <v>0</v>
      </c>
      <c r="J172" s="12">
        <f t="shared" si="24"/>
        <v>0</v>
      </c>
      <c r="K172" s="12">
        <f t="shared" si="24"/>
        <v>0</v>
      </c>
      <c r="L172" s="12">
        <f t="shared" si="24"/>
        <v>0</v>
      </c>
      <c r="M172" s="12">
        <f t="shared" si="24"/>
        <v>0</v>
      </c>
      <c r="N172" s="12">
        <f t="shared" si="24"/>
        <v>0</v>
      </c>
      <c r="O172" s="12">
        <f t="shared" si="24"/>
        <v>0</v>
      </c>
      <c r="P172" s="12">
        <f t="shared" si="24"/>
        <v>0</v>
      </c>
      <c r="Q172" s="73">
        <f>IFERROR(IF(Q170&lt;1,"",IF((Q171/Q170)&gt;1,1,(Q171/Q170))),0)</f>
        <v>0</v>
      </c>
      <c r="R172" s="74"/>
      <c r="S172" s="100"/>
      <c r="T172" s="101"/>
      <c r="U172" s="102"/>
    </row>
    <row r="173" spans="1:21" ht="23.25" customHeight="1" x14ac:dyDescent="0.2">
      <c r="A173" s="72"/>
      <c r="B173" s="71"/>
      <c r="C173" s="68" t="s">
        <v>38</v>
      </c>
      <c r="D173" s="68"/>
      <c r="E173" s="12">
        <v>0.9</v>
      </c>
      <c r="F173" s="12">
        <v>0.9</v>
      </c>
      <c r="G173" s="12">
        <v>0.9</v>
      </c>
      <c r="H173" s="12">
        <v>0.9</v>
      </c>
      <c r="I173" s="12">
        <v>0.9</v>
      </c>
      <c r="J173" s="12">
        <v>0.9</v>
      </c>
      <c r="K173" s="12">
        <v>0.9</v>
      </c>
      <c r="L173" s="12">
        <v>0.9</v>
      </c>
      <c r="M173" s="12">
        <v>0.9</v>
      </c>
      <c r="N173" s="12">
        <v>0.9</v>
      </c>
      <c r="O173" s="12">
        <v>0.9</v>
      </c>
      <c r="P173" s="12">
        <v>0.9</v>
      </c>
      <c r="Q173" s="75">
        <v>0.9</v>
      </c>
      <c r="R173" s="76"/>
      <c r="S173" s="100"/>
      <c r="T173" s="101"/>
      <c r="U173" s="102"/>
    </row>
    <row r="174" spans="1:21" ht="16.5" customHeight="1" x14ac:dyDescent="0.2">
      <c r="A174" s="106" t="s">
        <v>39</v>
      </c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6"/>
      <c r="S174" s="100"/>
      <c r="T174" s="101"/>
      <c r="U174" s="102"/>
    </row>
    <row r="175" spans="1:21" x14ac:dyDescent="0.2">
      <c r="A175" s="107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9"/>
      <c r="S175" s="100"/>
      <c r="T175" s="101"/>
      <c r="U175" s="102"/>
    </row>
    <row r="176" spans="1:21" x14ac:dyDescent="0.2">
      <c r="A176" s="107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9"/>
      <c r="S176" s="100"/>
      <c r="T176" s="101"/>
      <c r="U176" s="102"/>
    </row>
    <row r="177" spans="1:21" x14ac:dyDescent="0.2">
      <c r="A177" s="107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9"/>
      <c r="S177" s="100"/>
      <c r="T177" s="101"/>
      <c r="U177" s="102"/>
    </row>
    <row r="178" spans="1:21" x14ac:dyDescent="0.2">
      <c r="A178" s="107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9"/>
      <c r="S178" s="100"/>
      <c r="T178" s="101"/>
      <c r="U178" s="102"/>
    </row>
    <row r="179" spans="1:21" x14ac:dyDescent="0.2">
      <c r="A179" s="107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9"/>
      <c r="S179" s="100"/>
      <c r="T179" s="101"/>
      <c r="U179" s="102"/>
    </row>
    <row r="180" spans="1:21" x14ac:dyDescent="0.2">
      <c r="A180" s="107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9"/>
      <c r="S180" s="100"/>
      <c r="T180" s="101"/>
      <c r="U180" s="102"/>
    </row>
    <row r="181" spans="1:21" ht="12.75" thickBot="1" x14ac:dyDescent="0.25">
      <c r="A181" s="110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2"/>
      <c r="S181" s="103"/>
      <c r="T181" s="104"/>
      <c r="U181" s="105"/>
    </row>
  </sheetData>
  <mergeCells count="438">
    <mergeCell ref="B114:C115"/>
    <mergeCell ref="B130:C131"/>
    <mergeCell ref="Q126:Q127"/>
    <mergeCell ref="S126:S127"/>
    <mergeCell ref="T126:T127"/>
    <mergeCell ref="U126:U127"/>
    <mergeCell ref="B128:C129"/>
    <mergeCell ref="Q128:Q129"/>
    <mergeCell ref="S128:S129"/>
    <mergeCell ref="T128:T129"/>
    <mergeCell ref="U128:U129"/>
    <mergeCell ref="B126:C127"/>
    <mergeCell ref="B148:C149"/>
    <mergeCell ref="B124:C125"/>
    <mergeCell ref="B136:C137"/>
    <mergeCell ref="B138:C139"/>
    <mergeCell ref="B140:C141"/>
    <mergeCell ref="B146:C147"/>
    <mergeCell ref="S120:S121"/>
    <mergeCell ref="T120:T121"/>
    <mergeCell ref="U120:U121"/>
    <mergeCell ref="B122:C123"/>
    <mergeCell ref="B68:C69"/>
    <mergeCell ref="B70:C71"/>
    <mergeCell ref="S114:S115"/>
    <mergeCell ref="Q102:Q103"/>
    <mergeCell ref="Q104:Q105"/>
    <mergeCell ref="B98:C99"/>
    <mergeCell ref="B100:C101"/>
    <mergeCell ref="B102:C103"/>
    <mergeCell ref="B104:C105"/>
    <mergeCell ref="S98:S99"/>
    <mergeCell ref="Q78:Q79"/>
    <mergeCell ref="B82:C83"/>
    <mergeCell ref="Q90:Q91"/>
    <mergeCell ref="S90:S91"/>
    <mergeCell ref="B110:C111"/>
    <mergeCell ref="Q110:Q111"/>
    <mergeCell ref="S110:S111"/>
    <mergeCell ref="B78:C79"/>
    <mergeCell ref="B80:C81"/>
    <mergeCell ref="B88:C89"/>
    <mergeCell ref="B90:C91"/>
    <mergeCell ref="B108:C109"/>
    <mergeCell ref="B112:C113"/>
    <mergeCell ref="B106:C107"/>
    <mergeCell ref="A167:U167"/>
    <mergeCell ref="S168:U168"/>
    <mergeCell ref="S165:U165"/>
    <mergeCell ref="S169:U181"/>
    <mergeCell ref="A174:R174"/>
    <mergeCell ref="A175:R181"/>
    <mergeCell ref="S166:U166"/>
    <mergeCell ref="Q169:R169"/>
    <mergeCell ref="T150:T151"/>
    <mergeCell ref="U150:U151"/>
    <mergeCell ref="B156:C157"/>
    <mergeCell ref="B158:C159"/>
    <mergeCell ref="Q150:Q151"/>
    <mergeCell ref="B150:C151"/>
    <mergeCell ref="B152:C153"/>
    <mergeCell ref="B154:C155"/>
    <mergeCell ref="A161:D161"/>
    <mergeCell ref="R148:R151"/>
    <mergeCell ref="R152:R159"/>
    <mergeCell ref="S154:S155"/>
    <mergeCell ref="T154:T155"/>
    <mergeCell ref="U154:U155"/>
    <mergeCell ref="S156:S157"/>
    <mergeCell ref="T156:T157"/>
    <mergeCell ref="S150:S151"/>
    <mergeCell ref="S158:S159"/>
    <mergeCell ref="T158:T159"/>
    <mergeCell ref="U158:U159"/>
    <mergeCell ref="Q154:Q155"/>
    <mergeCell ref="Q156:Q157"/>
    <mergeCell ref="U156:U157"/>
    <mergeCell ref="Q118:Q119"/>
    <mergeCell ref="S118:S119"/>
    <mergeCell ref="T118:T119"/>
    <mergeCell ref="U118:U119"/>
    <mergeCell ref="Q120:Q121"/>
    <mergeCell ref="T122:T123"/>
    <mergeCell ref="U122:U123"/>
    <mergeCell ref="S152:S153"/>
    <mergeCell ref="T134:T135"/>
    <mergeCell ref="U134:U135"/>
    <mergeCell ref="Q136:Q137"/>
    <mergeCell ref="S136:S137"/>
    <mergeCell ref="T136:T137"/>
    <mergeCell ref="U136:U137"/>
    <mergeCell ref="Q148:Q149"/>
    <mergeCell ref="Q124:Q125"/>
    <mergeCell ref="S124:S125"/>
    <mergeCell ref="A13:A15"/>
    <mergeCell ref="A9:U9"/>
    <mergeCell ref="A5:U5"/>
    <mergeCell ref="A168:R168"/>
    <mergeCell ref="C172:D172"/>
    <mergeCell ref="C173:D173"/>
    <mergeCell ref="B170:B173"/>
    <mergeCell ref="A170:A173"/>
    <mergeCell ref="Q172:R172"/>
    <mergeCell ref="Q173:R173"/>
    <mergeCell ref="C171:D171"/>
    <mergeCell ref="C170:D170"/>
    <mergeCell ref="Q170:R170"/>
    <mergeCell ref="Q171:R171"/>
    <mergeCell ref="A169:B169"/>
    <mergeCell ref="C169:D169"/>
    <mergeCell ref="T98:T99"/>
    <mergeCell ref="U98:U99"/>
    <mergeCell ref="A152:A159"/>
    <mergeCell ref="A74:A147"/>
    <mergeCell ref="Q74:Q75"/>
    <mergeCell ref="S148:S149"/>
    <mergeCell ref="T148:T149"/>
    <mergeCell ref="U148:U149"/>
    <mergeCell ref="B52:C53"/>
    <mergeCell ref="B56:C57"/>
    <mergeCell ref="B50:C51"/>
    <mergeCell ref="A3:U3"/>
    <mergeCell ref="Q18:Q19"/>
    <mergeCell ref="Q26:Q27"/>
    <mergeCell ref="Q42:Q43"/>
    <mergeCell ref="A10:U10"/>
    <mergeCell ref="A11:U11"/>
    <mergeCell ref="A7:U7"/>
    <mergeCell ref="A8:U8"/>
    <mergeCell ref="A4:U4"/>
    <mergeCell ref="T16:T17"/>
    <mergeCell ref="U16:U17"/>
    <mergeCell ref="S18:S19"/>
    <mergeCell ref="E13:E14"/>
    <mergeCell ref="F13:F14"/>
    <mergeCell ref="Q16:Q17"/>
    <mergeCell ref="A6:U6"/>
    <mergeCell ref="A16:A73"/>
    <mergeCell ref="B74:C75"/>
    <mergeCell ref="B76:C77"/>
    <mergeCell ref="B84:C85"/>
    <mergeCell ref="B86:C87"/>
    <mergeCell ref="B94:C95"/>
    <mergeCell ref="B96:C97"/>
    <mergeCell ref="B72:C73"/>
    <mergeCell ref="R74:R147"/>
    <mergeCell ref="S106:S107"/>
    <mergeCell ref="Q114:Q115"/>
    <mergeCell ref="Q116:Q117"/>
    <mergeCell ref="S116:S117"/>
    <mergeCell ref="Q122:Q123"/>
    <mergeCell ref="S122:S123"/>
    <mergeCell ref="S94:S95"/>
    <mergeCell ref="S96:S97"/>
    <mergeCell ref="Q130:Q131"/>
    <mergeCell ref="S130:S131"/>
    <mergeCell ref="Q138:Q139"/>
    <mergeCell ref="S138:S139"/>
    <mergeCell ref="Q140:Q141"/>
    <mergeCell ref="Q142:Q143"/>
    <mergeCell ref="B120:C121"/>
    <mergeCell ref="B118:C119"/>
    <mergeCell ref="T102:T103"/>
    <mergeCell ref="U102:U103"/>
    <mergeCell ref="Q52:Q53"/>
    <mergeCell ref="Q56:Q57"/>
    <mergeCell ref="Q62:Q63"/>
    <mergeCell ref="S52:S53"/>
    <mergeCell ref="S56:S57"/>
    <mergeCell ref="S100:S101"/>
    <mergeCell ref="T94:T95"/>
    <mergeCell ref="T74:T75"/>
    <mergeCell ref="U74:U75"/>
    <mergeCell ref="S76:S77"/>
    <mergeCell ref="T76:T77"/>
    <mergeCell ref="U76:U77"/>
    <mergeCell ref="U94:U95"/>
    <mergeCell ref="T86:T87"/>
    <mergeCell ref="U86:U87"/>
    <mergeCell ref="S62:S63"/>
    <mergeCell ref="Q46:Q47"/>
    <mergeCell ref="Q48:Q49"/>
    <mergeCell ref="T96:T97"/>
    <mergeCell ref="U96:U97"/>
    <mergeCell ref="T52:T53"/>
    <mergeCell ref="T56:T57"/>
    <mergeCell ref="U84:U85"/>
    <mergeCell ref="S74:S75"/>
    <mergeCell ref="T44:T45"/>
    <mergeCell ref="S44:S45"/>
    <mergeCell ref="S46:S47"/>
    <mergeCell ref="T46:T47"/>
    <mergeCell ref="U46:U47"/>
    <mergeCell ref="S48:S49"/>
    <mergeCell ref="T48:T49"/>
    <mergeCell ref="U48:U49"/>
    <mergeCell ref="T62:T63"/>
    <mergeCell ref="U62:U63"/>
    <mergeCell ref="U70:U71"/>
    <mergeCell ref="S68:S69"/>
    <mergeCell ref="U52:U53"/>
    <mergeCell ref="U56:U57"/>
    <mergeCell ref="T84:T85"/>
    <mergeCell ref="S84:S85"/>
    <mergeCell ref="S78:S79"/>
    <mergeCell ref="T78:T79"/>
    <mergeCell ref="U78:U79"/>
    <mergeCell ref="B16:C17"/>
    <mergeCell ref="B18:C19"/>
    <mergeCell ref="B26:C27"/>
    <mergeCell ref="T13:T15"/>
    <mergeCell ref="U13:U15"/>
    <mergeCell ref="U18:U19"/>
    <mergeCell ref="Q20:Q21"/>
    <mergeCell ref="S20:S21"/>
    <mergeCell ref="T20:T21"/>
    <mergeCell ref="U20:U21"/>
    <mergeCell ref="S16:S17"/>
    <mergeCell ref="B13:D15"/>
    <mergeCell ref="J13:J14"/>
    <mergeCell ref="K13:K14"/>
    <mergeCell ref="L13:L14"/>
    <mergeCell ref="M13:M14"/>
    <mergeCell ref="U26:U27"/>
    <mergeCell ref="S26:S27"/>
    <mergeCell ref="G13:G14"/>
    <mergeCell ref="H13:H14"/>
    <mergeCell ref="N13:N14"/>
    <mergeCell ref="O13:O14"/>
    <mergeCell ref="B22:C23"/>
    <mergeCell ref="A162:U162"/>
    <mergeCell ref="A163:D163"/>
    <mergeCell ref="S70:S71"/>
    <mergeCell ref="T70:T71"/>
    <mergeCell ref="T68:T69"/>
    <mergeCell ref="U68:U69"/>
    <mergeCell ref="Q70:Q71"/>
    <mergeCell ref="Q68:Q69"/>
    <mergeCell ref="Q106:Q107"/>
    <mergeCell ref="Q94:Q95"/>
    <mergeCell ref="Q96:Q97"/>
    <mergeCell ref="Q76:Q77"/>
    <mergeCell ref="Q84:Q85"/>
    <mergeCell ref="Q86:Q87"/>
    <mergeCell ref="Q98:Q99"/>
    <mergeCell ref="Q100:Q101"/>
    <mergeCell ref="T114:T115"/>
    <mergeCell ref="U114:U115"/>
    <mergeCell ref="S86:S87"/>
    <mergeCell ref="S104:S105"/>
    <mergeCell ref="T104:T105"/>
    <mergeCell ref="U104:U105"/>
    <mergeCell ref="T152:T153"/>
    <mergeCell ref="U152:U153"/>
    <mergeCell ref="A166:D166"/>
    <mergeCell ref="E163:R163"/>
    <mergeCell ref="E164:R164"/>
    <mergeCell ref="E165:R165"/>
    <mergeCell ref="E166:R166"/>
    <mergeCell ref="S163:U163"/>
    <mergeCell ref="S164:U164"/>
    <mergeCell ref="A164:D164"/>
    <mergeCell ref="A165:D165"/>
    <mergeCell ref="S160:U161"/>
    <mergeCell ref="A148:A151"/>
    <mergeCell ref="Q152:Q153"/>
    <mergeCell ref="Q160:R160"/>
    <mergeCell ref="Q161:R161"/>
    <mergeCell ref="A160:D160"/>
    <mergeCell ref="Q158:Q159"/>
    <mergeCell ref="B132:C133"/>
    <mergeCell ref="Q132:Q133"/>
    <mergeCell ref="S132:S133"/>
    <mergeCell ref="T132:T133"/>
    <mergeCell ref="U132:U133"/>
    <mergeCell ref="B134:C135"/>
    <mergeCell ref="Q134:Q135"/>
    <mergeCell ref="S134:S135"/>
    <mergeCell ref="S140:S141"/>
    <mergeCell ref="T140:T141"/>
    <mergeCell ref="U140:U141"/>
    <mergeCell ref="B142:C143"/>
    <mergeCell ref="A1:B2"/>
    <mergeCell ref="C1:T2"/>
    <mergeCell ref="U1:U2"/>
    <mergeCell ref="Q72:Q73"/>
    <mergeCell ref="S72:S73"/>
    <mergeCell ref="T72:T73"/>
    <mergeCell ref="U72:U73"/>
    <mergeCell ref="R16:R73"/>
    <mergeCell ref="E15:P15"/>
    <mergeCell ref="Q13:R15"/>
    <mergeCell ref="S13:S15"/>
    <mergeCell ref="P13:P14"/>
    <mergeCell ref="U44:U45"/>
    <mergeCell ref="T18:T19"/>
    <mergeCell ref="T26:T27"/>
    <mergeCell ref="T42:T43"/>
    <mergeCell ref="B20:C21"/>
    <mergeCell ref="A12:D12"/>
    <mergeCell ref="E12:U12"/>
    <mergeCell ref="I13:I14"/>
    <mergeCell ref="Q22:Q23"/>
    <mergeCell ref="S22:S23"/>
    <mergeCell ref="T22:T23"/>
    <mergeCell ref="U22:U23"/>
    <mergeCell ref="B24:C25"/>
    <mergeCell ref="Q24:Q25"/>
    <mergeCell ref="S24:S25"/>
    <mergeCell ref="T24:T25"/>
    <mergeCell ref="U24:U25"/>
    <mergeCell ref="B36:C37"/>
    <mergeCell ref="Q36:Q37"/>
    <mergeCell ref="S36:S37"/>
    <mergeCell ref="T36:T37"/>
    <mergeCell ref="U36:U37"/>
    <mergeCell ref="B38:C39"/>
    <mergeCell ref="Q38:Q39"/>
    <mergeCell ref="S38:S39"/>
    <mergeCell ref="T38:T39"/>
    <mergeCell ref="U38:U39"/>
    <mergeCell ref="Q50:Q51"/>
    <mergeCell ref="S50:S51"/>
    <mergeCell ref="T50:T51"/>
    <mergeCell ref="U50:U51"/>
    <mergeCell ref="B40:C41"/>
    <mergeCell ref="Q40:Q41"/>
    <mergeCell ref="S40:S41"/>
    <mergeCell ref="T40:T41"/>
    <mergeCell ref="U40:U41"/>
    <mergeCell ref="U42:U43"/>
    <mergeCell ref="Q44:Q45"/>
    <mergeCell ref="S42:S43"/>
    <mergeCell ref="B42:C43"/>
    <mergeCell ref="B46:C47"/>
    <mergeCell ref="B48:C49"/>
    <mergeCell ref="B44:C45"/>
    <mergeCell ref="B54:C55"/>
    <mergeCell ref="Q54:Q55"/>
    <mergeCell ref="S54:S55"/>
    <mergeCell ref="T54:T55"/>
    <mergeCell ref="U54:U55"/>
    <mergeCell ref="B58:C59"/>
    <mergeCell ref="Q58:Q59"/>
    <mergeCell ref="S58:S59"/>
    <mergeCell ref="T58:T59"/>
    <mergeCell ref="U58:U59"/>
    <mergeCell ref="B60:C61"/>
    <mergeCell ref="Q60:Q61"/>
    <mergeCell ref="S60:S61"/>
    <mergeCell ref="T60:T61"/>
    <mergeCell ref="U60:U61"/>
    <mergeCell ref="B66:C67"/>
    <mergeCell ref="Q66:Q67"/>
    <mergeCell ref="S66:S67"/>
    <mergeCell ref="T66:T67"/>
    <mergeCell ref="U66:U67"/>
    <mergeCell ref="B62:C63"/>
    <mergeCell ref="Q88:Q89"/>
    <mergeCell ref="S88:S89"/>
    <mergeCell ref="T88:T89"/>
    <mergeCell ref="U88:U89"/>
    <mergeCell ref="Q80:Q81"/>
    <mergeCell ref="S80:S81"/>
    <mergeCell ref="T80:T81"/>
    <mergeCell ref="U80:U81"/>
    <mergeCell ref="Q82:Q83"/>
    <mergeCell ref="S82:S83"/>
    <mergeCell ref="T82:T83"/>
    <mergeCell ref="U82:U83"/>
    <mergeCell ref="T116:T117"/>
    <mergeCell ref="U116:U117"/>
    <mergeCell ref="B116:C117"/>
    <mergeCell ref="T90:T91"/>
    <mergeCell ref="U90:U91"/>
    <mergeCell ref="B92:C93"/>
    <mergeCell ref="Q92:Q93"/>
    <mergeCell ref="S92:S93"/>
    <mergeCell ref="T92:T93"/>
    <mergeCell ref="U92:U93"/>
    <mergeCell ref="Q108:Q109"/>
    <mergeCell ref="S108:S109"/>
    <mergeCell ref="T108:T109"/>
    <mergeCell ref="U108:U109"/>
    <mergeCell ref="T106:T107"/>
    <mergeCell ref="U106:U107"/>
    <mergeCell ref="T100:T101"/>
    <mergeCell ref="U100:U101"/>
    <mergeCell ref="S102:S103"/>
    <mergeCell ref="S144:S145"/>
    <mergeCell ref="T144:T145"/>
    <mergeCell ref="U144:U145"/>
    <mergeCell ref="T110:T111"/>
    <mergeCell ref="U110:U111"/>
    <mergeCell ref="Q112:Q113"/>
    <mergeCell ref="S112:S113"/>
    <mergeCell ref="T112:T113"/>
    <mergeCell ref="U112:U113"/>
    <mergeCell ref="T124:T125"/>
    <mergeCell ref="U124:U125"/>
    <mergeCell ref="T130:T131"/>
    <mergeCell ref="U130:U131"/>
    <mergeCell ref="T138:T139"/>
    <mergeCell ref="U138:U139"/>
    <mergeCell ref="Q146:Q147"/>
    <mergeCell ref="S146:S147"/>
    <mergeCell ref="T146:T147"/>
    <mergeCell ref="U146:U147"/>
    <mergeCell ref="B32:C33"/>
    <mergeCell ref="Q32:Q33"/>
    <mergeCell ref="S32:S33"/>
    <mergeCell ref="T32:T33"/>
    <mergeCell ref="U32:U33"/>
    <mergeCell ref="B64:C65"/>
    <mergeCell ref="Q64:Q65"/>
    <mergeCell ref="S64:S65"/>
    <mergeCell ref="T64:T65"/>
    <mergeCell ref="U64:U65"/>
    <mergeCell ref="B34:C35"/>
    <mergeCell ref="Q34:Q35"/>
    <mergeCell ref="S34:S35"/>
    <mergeCell ref="T34:T35"/>
    <mergeCell ref="U34:U35"/>
    <mergeCell ref="S142:S143"/>
    <mergeCell ref="T142:T143"/>
    <mergeCell ref="U142:U143"/>
    <mergeCell ref="B144:C145"/>
    <mergeCell ref="Q144:Q145"/>
    <mergeCell ref="B28:C29"/>
    <mergeCell ref="Q28:Q29"/>
    <mergeCell ref="S28:S29"/>
    <mergeCell ref="T28:T29"/>
    <mergeCell ref="U28:U29"/>
    <mergeCell ref="B30:C31"/>
    <mergeCell ref="Q30:Q31"/>
    <mergeCell ref="S30:S31"/>
    <mergeCell ref="T30:T31"/>
    <mergeCell ref="U30:U31"/>
  </mergeCells>
  <conditionalFormatting sqref="E18:P18">
    <cfRule type="cellIs" dxfId="323" priority="826" stopIfTrue="1" operator="between">
      <formula>1</formula>
      <formula>20</formula>
    </cfRule>
  </conditionalFormatting>
  <conditionalFormatting sqref="E26:P26">
    <cfRule type="cellIs" dxfId="322" priority="825" stopIfTrue="1" operator="between">
      <formula>1</formula>
      <formula>20</formula>
    </cfRule>
  </conditionalFormatting>
  <conditionalFormatting sqref="E42:P42">
    <cfRule type="cellIs" dxfId="321" priority="823" stopIfTrue="1" operator="between">
      <formula>1</formula>
      <formula>20</formula>
    </cfRule>
  </conditionalFormatting>
  <conditionalFormatting sqref="E44:P44">
    <cfRule type="cellIs" dxfId="320" priority="821" stopIfTrue="1" operator="between">
      <formula>1</formula>
      <formula>20</formula>
    </cfRule>
  </conditionalFormatting>
  <conditionalFormatting sqref="E52:P52">
    <cfRule type="cellIs" dxfId="319" priority="819" stopIfTrue="1" operator="between">
      <formula>1</formula>
      <formula>20</formula>
    </cfRule>
  </conditionalFormatting>
  <conditionalFormatting sqref="E56:P56">
    <cfRule type="cellIs" dxfId="318" priority="818" stopIfTrue="1" operator="between">
      <formula>1</formula>
      <formula>20</formula>
    </cfRule>
  </conditionalFormatting>
  <conditionalFormatting sqref="E74:P74">
    <cfRule type="cellIs" dxfId="317" priority="815" stopIfTrue="1" operator="between">
      <formula>1</formula>
      <formula>20</formula>
    </cfRule>
  </conditionalFormatting>
  <conditionalFormatting sqref="E76:P76">
    <cfRule type="cellIs" dxfId="316" priority="814" stopIfTrue="1" operator="between">
      <formula>1</formula>
      <formula>20</formula>
    </cfRule>
  </conditionalFormatting>
  <conditionalFormatting sqref="E84:P84">
    <cfRule type="cellIs" dxfId="315" priority="811" stopIfTrue="1" operator="between">
      <formula>1</formula>
      <formula>20</formula>
    </cfRule>
  </conditionalFormatting>
  <conditionalFormatting sqref="E86:P86">
    <cfRule type="cellIs" dxfId="314" priority="809" stopIfTrue="1" operator="between">
      <formula>1</formula>
      <formula>20</formula>
    </cfRule>
  </conditionalFormatting>
  <conditionalFormatting sqref="E94:P94">
    <cfRule type="cellIs" dxfId="313" priority="807" stopIfTrue="1" operator="between">
      <formula>1</formula>
      <formula>20</formula>
    </cfRule>
  </conditionalFormatting>
  <conditionalFormatting sqref="E62:P62">
    <cfRule type="cellIs" dxfId="312" priority="759" stopIfTrue="1" operator="between">
      <formula>1</formula>
      <formula>20</formula>
    </cfRule>
  </conditionalFormatting>
  <conditionalFormatting sqref="E152:P152">
    <cfRule type="cellIs" dxfId="311" priority="801" stopIfTrue="1" operator="between">
      <formula>1</formula>
      <formula>20</formula>
    </cfRule>
  </conditionalFormatting>
  <conditionalFormatting sqref="E19:P19">
    <cfRule type="cellIs" dxfId="310" priority="798" stopIfTrue="1" operator="between">
      <formula>1</formula>
      <formula>20</formula>
    </cfRule>
  </conditionalFormatting>
  <conditionalFormatting sqref="E27:P27">
    <cfRule type="cellIs" dxfId="309" priority="797" stopIfTrue="1" operator="between">
      <formula>1</formula>
      <formula>20</formula>
    </cfRule>
  </conditionalFormatting>
  <conditionalFormatting sqref="E43:P43">
    <cfRule type="cellIs" dxfId="308" priority="795" stopIfTrue="1" operator="between">
      <formula>1</formula>
      <formula>20</formula>
    </cfRule>
  </conditionalFormatting>
  <conditionalFormatting sqref="E45:P45">
    <cfRule type="cellIs" dxfId="307" priority="793" stopIfTrue="1" operator="between">
      <formula>1</formula>
      <formula>20</formula>
    </cfRule>
  </conditionalFormatting>
  <conditionalFormatting sqref="E53:P53">
    <cfRule type="cellIs" dxfId="306" priority="791" stopIfTrue="1" operator="between">
      <formula>1</formula>
      <formula>20</formula>
    </cfRule>
  </conditionalFormatting>
  <conditionalFormatting sqref="E57:P57">
    <cfRule type="cellIs" dxfId="305" priority="790" stopIfTrue="1" operator="between">
      <formula>1</formula>
      <formula>20</formula>
    </cfRule>
  </conditionalFormatting>
  <conditionalFormatting sqref="E75:P75">
    <cfRule type="cellIs" dxfId="304" priority="787" stopIfTrue="1" operator="between">
      <formula>1</formula>
      <formula>20</formula>
    </cfRule>
  </conditionalFormatting>
  <conditionalFormatting sqref="E77:P77">
    <cfRule type="cellIs" dxfId="303" priority="786" stopIfTrue="1" operator="between">
      <formula>1</formula>
      <formula>20</formula>
    </cfRule>
  </conditionalFormatting>
  <conditionalFormatting sqref="E85:P85">
    <cfRule type="cellIs" dxfId="302" priority="783" stopIfTrue="1" operator="between">
      <formula>1</formula>
      <formula>20</formula>
    </cfRule>
  </conditionalFormatting>
  <conditionalFormatting sqref="E87:P87">
    <cfRule type="cellIs" dxfId="301" priority="781" stopIfTrue="1" operator="between">
      <formula>1</formula>
      <formula>20</formula>
    </cfRule>
  </conditionalFormatting>
  <conditionalFormatting sqref="E95:P95">
    <cfRule type="cellIs" dxfId="300" priority="779" stopIfTrue="1" operator="between">
      <formula>1</formula>
      <formula>20</formula>
    </cfRule>
  </conditionalFormatting>
  <conditionalFormatting sqref="E97:P97">
    <cfRule type="cellIs" dxfId="299" priority="778" stopIfTrue="1" operator="between">
      <formula>1</formula>
      <formula>20</formula>
    </cfRule>
  </conditionalFormatting>
  <conditionalFormatting sqref="E153:P153">
    <cfRule type="cellIs" dxfId="298" priority="774" stopIfTrue="1" operator="between">
      <formula>1</formula>
      <formula>20</formula>
    </cfRule>
  </conditionalFormatting>
  <conditionalFormatting sqref="R74:R77 R26:R27 R42:R45 R52:R53 R56:R57 R84:R87 R94:R97 R16:R19">
    <cfRule type="cellIs" dxfId="297" priority="770" stopIfTrue="1" operator="greaterThan">
      <formula>0.7</formula>
    </cfRule>
    <cfRule type="cellIs" dxfId="296" priority="771" stopIfTrue="1" operator="between">
      <formula>0.69</formula>
      <formula>0.45</formula>
    </cfRule>
    <cfRule type="cellIs" dxfId="295" priority="772" stopIfTrue="1" operator="between">
      <formula>0</formula>
      <formula>0.44</formula>
    </cfRule>
  </conditionalFormatting>
  <conditionalFormatting sqref="R152:R153">
    <cfRule type="cellIs" dxfId="294" priority="761" stopIfTrue="1" operator="greaterThan">
      <formula>0.7</formula>
    </cfRule>
    <cfRule type="cellIs" dxfId="293" priority="762" stopIfTrue="1" operator="between">
      <formula>0.69</formula>
      <formula>0.45</formula>
    </cfRule>
    <cfRule type="cellIs" dxfId="292" priority="763" stopIfTrue="1" operator="between">
      <formula>0</formula>
      <formula>0.44</formula>
    </cfRule>
  </conditionalFormatting>
  <conditionalFormatting sqref="R70:R71">
    <cfRule type="cellIs" dxfId="291" priority="715" stopIfTrue="1" operator="greaterThan">
      <formula>0.7</formula>
    </cfRule>
    <cfRule type="cellIs" dxfId="290" priority="716" stopIfTrue="1" operator="between">
      <formula>0.69</formula>
      <formula>0.45</formula>
    </cfRule>
    <cfRule type="cellIs" dxfId="289" priority="717" stopIfTrue="1" operator="between">
      <formula>0</formula>
      <formula>0.44</formula>
    </cfRule>
  </conditionalFormatting>
  <conditionalFormatting sqref="E70:P70">
    <cfRule type="cellIs" dxfId="288" priority="719" stopIfTrue="1" operator="between">
      <formula>1</formula>
      <formula>20</formula>
    </cfRule>
  </conditionalFormatting>
  <conditionalFormatting sqref="E63:P63">
    <cfRule type="cellIs" dxfId="287" priority="758" stopIfTrue="1" operator="between">
      <formula>1</formula>
      <formula>20</formula>
    </cfRule>
  </conditionalFormatting>
  <conditionalFormatting sqref="R62:R63">
    <cfRule type="cellIs" dxfId="286" priority="755" stopIfTrue="1" operator="greaterThan">
      <formula>0.7</formula>
    </cfRule>
    <cfRule type="cellIs" dxfId="285" priority="756" stopIfTrue="1" operator="between">
      <formula>0.69</formula>
      <formula>0.45</formula>
    </cfRule>
    <cfRule type="cellIs" dxfId="284" priority="757" stopIfTrue="1" operator="between">
      <formula>0</formula>
      <formula>0.44</formula>
    </cfRule>
  </conditionalFormatting>
  <conditionalFormatting sqref="E68:P68">
    <cfRule type="cellIs" dxfId="283" priority="734" stopIfTrue="1" operator="between">
      <formula>1</formula>
      <formula>20</formula>
    </cfRule>
  </conditionalFormatting>
  <conditionalFormatting sqref="E69:P69">
    <cfRule type="cellIs" dxfId="282" priority="733" stopIfTrue="1" operator="between">
      <formula>1</formula>
      <formula>20</formula>
    </cfRule>
  </conditionalFormatting>
  <conditionalFormatting sqref="R68:R69">
    <cfRule type="cellIs" dxfId="281" priority="730" stopIfTrue="1" operator="greaterThan">
      <formula>0.7</formula>
    </cfRule>
    <cfRule type="cellIs" dxfId="280" priority="731" stopIfTrue="1" operator="between">
      <formula>0.69</formula>
      <formula>0.45</formula>
    </cfRule>
    <cfRule type="cellIs" dxfId="279" priority="732" stopIfTrue="1" operator="between">
      <formula>0</formula>
      <formula>0.44</formula>
    </cfRule>
  </conditionalFormatting>
  <conditionalFormatting sqref="E71:P71">
    <cfRule type="cellIs" dxfId="278" priority="718" stopIfTrue="1" operator="between">
      <formula>1</formula>
      <formula>20</formula>
    </cfRule>
  </conditionalFormatting>
  <conditionalFormatting sqref="R98:R99">
    <cfRule type="cellIs" dxfId="277" priority="700" stopIfTrue="1" operator="greaterThan">
      <formula>0.7</formula>
    </cfRule>
    <cfRule type="cellIs" dxfId="276" priority="701" stopIfTrue="1" operator="between">
      <formula>0.69</formula>
      <formula>0.45</formula>
    </cfRule>
    <cfRule type="cellIs" dxfId="275" priority="702" stopIfTrue="1" operator="between">
      <formula>0</formula>
      <formula>0.44</formula>
    </cfRule>
  </conditionalFormatting>
  <conditionalFormatting sqref="E99:P99">
    <cfRule type="cellIs" dxfId="274" priority="703" stopIfTrue="1" operator="between">
      <formula>1</formula>
      <formula>20</formula>
    </cfRule>
  </conditionalFormatting>
  <conditionalFormatting sqref="E100:P100">
    <cfRule type="cellIs" dxfId="273" priority="646" stopIfTrue="1" operator="between">
      <formula>1</formula>
      <formula>20</formula>
    </cfRule>
  </conditionalFormatting>
  <conditionalFormatting sqref="E101:P101">
    <cfRule type="cellIs" dxfId="272" priority="645" stopIfTrue="1" operator="between">
      <formula>1</formula>
      <formula>20</formula>
    </cfRule>
  </conditionalFormatting>
  <conditionalFormatting sqref="R100:R101">
    <cfRule type="cellIs" dxfId="271" priority="642" stopIfTrue="1" operator="greaterThan">
      <formula>0.7</formula>
    </cfRule>
    <cfRule type="cellIs" dxfId="270" priority="643" stopIfTrue="1" operator="between">
      <formula>0.69</formula>
      <formula>0.45</formula>
    </cfRule>
    <cfRule type="cellIs" dxfId="269" priority="644" stopIfTrue="1" operator="between">
      <formula>0</formula>
      <formula>0.44</formula>
    </cfRule>
  </conditionalFormatting>
  <conditionalFormatting sqref="E102:P102">
    <cfRule type="cellIs" dxfId="268" priority="641" stopIfTrue="1" operator="between">
      <formula>1</formula>
      <formula>20</formula>
    </cfRule>
  </conditionalFormatting>
  <conditionalFormatting sqref="E103:P103">
    <cfRule type="cellIs" dxfId="267" priority="640" stopIfTrue="1" operator="between">
      <formula>1</formula>
      <formula>20</formula>
    </cfRule>
  </conditionalFormatting>
  <conditionalFormatting sqref="R102:R103">
    <cfRule type="cellIs" dxfId="266" priority="637" stopIfTrue="1" operator="greaterThan">
      <formula>0.7</formula>
    </cfRule>
    <cfRule type="cellIs" dxfId="265" priority="638" stopIfTrue="1" operator="between">
      <formula>0.69</formula>
      <formula>0.45</formula>
    </cfRule>
    <cfRule type="cellIs" dxfId="264" priority="639" stopIfTrue="1" operator="between">
      <formula>0</formula>
      <formula>0.44</formula>
    </cfRule>
  </conditionalFormatting>
  <conditionalFormatting sqref="E104:P104">
    <cfRule type="cellIs" dxfId="263" priority="636" stopIfTrue="1" operator="between">
      <formula>1</formula>
      <formula>20</formula>
    </cfRule>
  </conditionalFormatting>
  <conditionalFormatting sqref="E105:P105">
    <cfRule type="cellIs" dxfId="262" priority="635" stopIfTrue="1" operator="between">
      <formula>1</formula>
      <formula>20</formula>
    </cfRule>
  </conditionalFormatting>
  <conditionalFormatting sqref="R104:R105">
    <cfRule type="cellIs" dxfId="261" priority="632" stopIfTrue="1" operator="greaterThan">
      <formula>0.7</formula>
    </cfRule>
    <cfRule type="cellIs" dxfId="260" priority="633" stopIfTrue="1" operator="between">
      <formula>0.69</formula>
      <formula>0.45</formula>
    </cfRule>
    <cfRule type="cellIs" dxfId="259" priority="634" stopIfTrue="1" operator="between">
      <formula>0</formula>
      <formula>0.44</formula>
    </cfRule>
  </conditionalFormatting>
  <conditionalFormatting sqref="E107:P107">
    <cfRule type="cellIs" dxfId="258" priority="630" stopIfTrue="1" operator="between">
      <formula>1</formula>
      <formula>20</formula>
    </cfRule>
  </conditionalFormatting>
  <conditionalFormatting sqref="R106:R107">
    <cfRule type="cellIs" dxfId="257" priority="627" stopIfTrue="1" operator="greaterThan">
      <formula>0.7</formula>
    </cfRule>
    <cfRule type="cellIs" dxfId="256" priority="628" stopIfTrue="1" operator="between">
      <formula>0.69</formula>
      <formula>0.45</formula>
    </cfRule>
    <cfRule type="cellIs" dxfId="255" priority="629" stopIfTrue="1" operator="between">
      <formula>0</formula>
      <formula>0.44</formula>
    </cfRule>
  </conditionalFormatting>
  <conditionalFormatting sqref="E96:P96">
    <cfRule type="cellIs" dxfId="254" priority="561" stopIfTrue="1" operator="between">
      <formula>1</formula>
      <formula>20</formula>
    </cfRule>
  </conditionalFormatting>
  <conditionalFormatting sqref="E114:P114">
    <cfRule type="cellIs" dxfId="253" priority="621" stopIfTrue="1" operator="between">
      <formula>1</formula>
      <formula>20</formula>
    </cfRule>
  </conditionalFormatting>
  <conditionalFormatting sqref="E115:P115">
    <cfRule type="cellIs" dxfId="252" priority="620" stopIfTrue="1" operator="between">
      <formula>1</formula>
      <formula>20</formula>
    </cfRule>
  </conditionalFormatting>
  <conditionalFormatting sqref="R114:R115">
    <cfRule type="cellIs" dxfId="251" priority="617" stopIfTrue="1" operator="greaterThan">
      <formula>0.7</formula>
    </cfRule>
    <cfRule type="cellIs" dxfId="250" priority="618" stopIfTrue="1" operator="between">
      <formula>0.69</formula>
      <formula>0.45</formula>
    </cfRule>
    <cfRule type="cellIs" dxfId="249" priority="619" stopIfTrue="1" operator="between">
      <formula>0</formula>
      <formula>0.44</formula>
    </cfRule>
  </conditionalFormatting>
  <conditionalFormatting sqref="E116:P116">
    <cfRule type="cellIs" dxfId="248" priority="616" stopIfTrue="1" operator="between">
      <formula>1</formula>
      <formula>20</formula>
    </cfRule>
  </conditionalFormatting>
  <conditionalFormatting sqref="E117:P117">
    <cfRule type="cellIs" dxfId="247" priority="615" stopIfTrue="1" operator="between">
      <formula>1</formula>
      <formula>20</formula>
    </cfRule>
  </conditionalFormatting>
  <conditionalFormatting sqref="R116:R117">
    <cfRule type="cellIs" dxfId="246" priority="612" stopIfTrue="1" operator="greaterThan">
      <formula>0.7</formula>
    </cfRule>
    <cfRule type="cellIs" dxfId="245" priority="613" stopIfTrue="1" operator="between">
      <formula>0.69</formula>
      <formula>0.45</formula>
    </cfRule>
    <cfRule type="cellIs" dxfId="244" priority="614" stopIfTrue="1" operator="between">
      <formula>0</formula>
      <formula>0.44</formula>
    </cfRule>
  </conditionalFormatting>
  <conditionalFormatting sqref="E98:P98">
    <cfRule type="cellIs" dxfId="243" priority="560" stopIfTrue="1" operator="between">
      <formula>1</formula>
      <formula>20</formula>
    </cfRule>
  </conditionalFormatting>
  <conditionalFormatting sqref="E106:P106">
    <cfRule type="cellIs" dxfId="242" priority="559" stopIfTrue="1" operator="between">
      <formula>1</formula>
      <formula>20</formula>
    </cfRule>
  </conditionalFormatting>
  <conditionalFormatting sqref="E150:P150">
    <cfRule type="cellIs" dxfId="241" priority="548" stopIfTrue="1" operator="between">
      <formula>1</formula>
      <formula>20</formula>
    </cfRule>
  </conditionalFormatting>
  <conditionalFormatting sqref="E151:P151">
    <cfRule type="cellIs" dxfId="240" priority="547" stopIfTrue="1" operator="between">
      <formula>1</formula>
      <formula>20</formula>
    </cfRule>
  </conditionalFormatting>
  <conditionalFormatting sqref="R150:R151">
    <cfRule type="cellIs" dxfId="239" priority="544" stopIfTrue="1" operator="greaterThan">
      <formula>0.7</formula>
    </cfRule>
    <cfRule type="cellIs" dxfId="238" priority="545" stopIfTrue="1" operator="between">
      <formula>0.69</formula>
      <formula>0.45</formula>
    </cfRule>
    <cfRule type="cellIs" dxfId="237" priority="546" stopIfTrue="1" operator="between">
      <formula>0</formula>
      <formula>0.44</formula>
    </cfRule>
  </conditionalFormatting>
  <conditionalFormatting sqref="E148:P148">
    <cfRule type="cellIs" dxfId="236" priority="553" stopIfTrue="1" operator="between">
      <formula>1</formula>
      <formula>20</formula>
    </cfRule>
  </conditionalFormatting>
  <conditionalFormatting sqref="E149:P149">
    <cfRule type="cellIs" dxfId="235" priority="552" stopIfTrue="1" operator="between">
      <formula>1</formula>
      <formula>20</formula>
    </cfRule>
  </conditionalFormatting>
  <conditionalFormatting sqref="R148:R149">
    <cfRule type="cellIs" dxfId="234" priority="549" stopIfTrue="1" operator="greaterThan">
      <formula>0.7</formula>
    </cfRule>
    <cfRule type="cellIs" dxfId="233" priority="550" stopIfTrue="1" operator="between">
      <formula>0.69</formula>
      <formula>0.45</formula>
    </cfRule>
    <cfRule type="cellIs" dxfId="232" priority="551" stopIfTrue="1" operator="between">
      <formula>0</formula>
      <formula>0.44</formula>
    </cfRule>
  </conditionalFormatting>
  <conditionalFormatting sqref="E158:P158">
    <cfRule type="cellIs" dxfId="231" priority="528" stopIfTrue="1" operator="between">
      <formula>1</formula>
      <formula>20</formula>
    </cfRule>
  </conditionalFormatting>
  <conditionalFormatting sqref="E159:P159">
    <cfRule type="cellIs" dxfId="230" priority="527" stopIfTrue="1" operator="between">
      <formula>1</formula>
      <formula>20</formula>
    </cfRule>
  </conditionalFormatting>
  <conditionalFormatting sqref="R158:R159">
    <cfRule type="cellIs" dxfId="229" priority="524" stopIfTrue="1" operator="greaterThan">
      <formula>0.7</formula>
    </cfRule>
    <cfRule type="cellIs" dxfId="228" priority="525" stopIfTrue="1" operator="between">
      <formula>0.69</formula>
      <formula>0.45</formula>
    </cfRule>
    <cfRule type="cellIs" dxfId="227" priority="526" stopIfTrue="1" operator="between">
      <formula>0</formula>
      <formula>0.44</formula>
    </cfRule>
  </conditionalFormatting>
  <conditionalFormatting sqref="E154:P154">
    <cfRule type="cellIs" dxfId="226" priority="538" stopIfTrue="1" operator="between">
      <formula>1</formula>
      <formula>20</formula>
    </cfRule>
  </conditionalFormatting>
  <conditionalFormatting sqref="E155:P155">
    <cfRule type="cellIs" dxfId="225" priority="537" stopIfTrue="1" operator="between">
      <formula>1</formula>
      <formula>20</formula>
    </cfRule>
  </conditionalFormatting>
  <conditionalFormatting sqref="R154:R155">
    <cfRule type="cellIs" dxfId="224" priority="534" stopIfTrue="1" operator="greaterThan">
      <formula>0.7</formula>
    </cfRule>
    <cfRule type="cellIs" dxfId="223" priority="535" stopIfTrue="1" operator="between">
      <formula>0.69</formula>
      <formula>0.45</formula>
    </cfRule>
    <cfRule type="cellIs" dxfId="222" priority="536" stopIfTrue="1" operator="between">
      <formula>0</formula>
      <formula>0.44</formula>
    </cfRule>
  </conditionalFormatting>
  <conditionalFormatting sqref="E156:P156">
    <cfRule type="cellIs" dxfId="221" priority="533" stopIfTrue="1" operator="between">
      <formula>1</formula>
      <formula>20</formula>
    </cfRule>
  </conditionalFormatting>
  <conditionalFormatting sqref="E157:P157">
    <cfRule type="cellIs" dxfId="220" priority="532" stopIfTrue="1" operator="between">
      <formula>1</formula>
      <formula>20</formula>
    </cfRule>
  </conditionalFormatting>
  <conditionalFormatting sqref="R156:R157">
    <cfRule type="cellIs" dxfId="219" priority="529" stopIfTrue="1" operator="greaterThan">
      <formula>0.7</formula>
    </cfRule>
    <cfRule type="cellIs" dxfId="218" priority="530" stopIfTrue="1" operator="between">
      <formula>0.69</formula>
      <formula>0.45</formula>
    </cfRule>
    <cfRule type="cellIs" dxfId="217" priority="531" stopIfTrue="1" operator="between">
      <formula>0</formula>
      <formula>0.44</formula>
    </cfRule>
  </conditionalFormatting>
  <conditionalFormatting sqref="E72:P72">
    <cfRule type="cellIs" dxfId="216" priority="473" stopIfTrue="1" operator="between">
      <formula>1</formula>
      <formula>20</formula>
    </cfRule>
  </conditionalFormatting>
  <conditionalFormatting sqref="E73:P73">
    <cfRule type="cellIs" dxfId="215" priority="472" stopIfTrue="1" operator="between">
      <formula>1</formula>
      <formula>20</formula>
    </cfRule>
  </conditionalFormatting>
  <conditionalFormatting sqref="R72:R73">
    <cfRule type="cellIs" dxfId="214" priority="469" stopIfTrue="1" operator="greaterThan">
      <formula>0.7</formula>
    </cfRule>
    <cfRule type="cellIs" dxfId="213" priority="470" stopIfTrue="1" operator="between">
      <formula>0.69</formula>
      <formula>0.45</formula>
    </cfRule>
    <cfRule type="cellIs" dxfId="212" priority="471" stopIfTrue="1" operator="between">
      <formula>0</formula>
      <formula>0.44</formula>
    </cfRule>
  </conditionalFormatting>
  <conditionalFormatting sqref="R118:R119">
    <cfRule type="cellIs" dxfId="211" priority="289" stopIfTrue="1" operator="greaterThan">
      <formula>0.7</formula>
    </cfRule>
    <cfRule type="cellIs" dxfId="210" priority="290" stopIfTrue="1" operator="between">
      <formula>0.69</formula>
      <formula>0.45</formula>
    </cfRule>
    <cfRule type="cellIs" dxfId="209" priority="291" stopIfTrue="1" operator="between">
      <formula>0</formula>
      <formula>0.44</formula>
    </cfRule>
  </conditionalFormatting>
  <conditionalFormatting sqref="E118:P118">
    <cfRule type="cellIs" dxfId="208" priority="293" stopIfTrue="1" operator="between">
      <formula>1</formula>
      <formula>20</formula>
    </cfRule>
  </conditionalFormatting>
  <conditionalFormatting sqref="E119:P119">
    <cfRule type="cellIs" dxfId="207" priority="292" stopIfTrue="1" operator="between">
      <formula>1</formula>
      <formula>20</formula>
    </cfRule>
  </conditionalFormatting>
  <conditionalFormatting sqref="R122:R123">
    <cfRule type="cellIs" dxfId="206" priority="279" stopIfTrue="1" operator="greaterThan">
      <formula>0.7</formula>
    </cfRule>
    <cfRule type="cellIs" dxfId="205" priority="280" stopIfTrue="1" operator="between">
      <formula>0.69</formula>
      <formula>0.45</formula>
    </cfRule>
    <cfRule type="cellIs" dxfId="204" priority="281" stopIfTrue="1" operator="between">
      <formula>0</formula>
      <formula>0.44</formula>
    </cfRule>
  </conditionalFormatting>
  <conditionalFormatting sqref="E123:P123">
    <cfRule type="cellIs" dxfId="203" priority="282" stopIfTrue="1" operator="between">
      <formula>1</formula>
      <formula>20</formula>
    </cfRule>
  </conditionalFormatting>
  <conditionalFormatting sqref="E121:P121">
    <cfRule type="cellIs" dxfId="202" priority="287" stopIfTrue="1" operator="between">
      <formula>1</formula>
      <formula>20</formula>
    </cfRule>
  </conditionalFormatting>
  <conditionalFormatting sqref="R120:R121">
    <cfRule type="cellIs" dxfId="201" priority="284" stopIfTrue="1" operator="greaterThan">
      <formula>0.7</formula>
    </cfRule>
    <cfRule type="cellIs" dxfId="200" priority="285" stopIfTrue="1" operator="between">
      <formula>0.69</formula>
      <formula>0.45</formula>
    </cfRule>
    <cfRule type="cellIs" dxfId="199" priority="286" stopIfTrue="1" operator="between">
      <formula>0</formula>
      <formula>0.44</formula>
    </cfRule>
  </conditionalFormatting>
  <conditionalFormatting sqref="E131:P131">
    <cfRule type="cellIs" dxfId="198" priority="252" stopIfTrue="1" operator="between">
      <formula>1</formula>
      <formula>20</formula>
    </cfRule>
  </conditionalFormatting>
  <conditionalFormatting sqref="R130:R131">
    <cfRule type="cellIs" dxfId="197" priority="249" stopIfTrue="1" operator="greaterThan">
      <formula>0.7</formula>
    </cfRule>
    <cfRule type="cellIs" dxfId="196" priority="250" stopIfTrue="1" operator="between">
      <formula>0.69</formula>
      <formula>0.45</formula>
    </cfRule>
    <cfRule type="cellIs" dxfId="195" priority="251" stopIfTrue="1" operator="between">
      <formula>0</formula>
      <formula>0.44</formula>
    </cfRule>
  </conditionalFormatting>
  <conditionalFormatting sqref="E125:P125">
    <cfRule type="cellIs" dxfId="194" priority="267" stopIfTrue="1" operator="between">
      <formula>1</formula>
      <formula>20</formula>
    </cfRule>
  </conditionalFormatting>
  <conditionalFormatting sqref="R124:R125">
    <cfRule type="cellIs" dxfId="193" priority="264" stopIfTrue="1" operator="greaterThan">
      <formula>0.7</formula>
    </cfRule>
    <cfRule type="cellIs" dxfId="192" priority="265" stopIfTrue="1" operator="between">
      <formula>0.69</formula>
      <formula>0.45</formula>
    </cfRule>
    <cfRule type="cellIs" dxfId="191" priority="266" stopIfTrue="1" operator="between">
      <formula>0</formula>
      <formula>0.44</formula>
    </cfRule>
  </conditionalFormatting>
  <conditionalFormatting sqref="E127:P127">
    <cfRule type="cellIs" dxfId="190" priority="262" stopIfTrue="1" operator="between">
      <formula>1</formula>
      <formula>20</formula>
    </cfRule>
  </conditionalFormatting>
  <conditionalFormatting sqref="R126:R127">
    <cfRule type="cellIs" dxfId="189" priority="259" stopIfTrue="1" operator="greaterThan">
      <formula>0.7</formula>
    </cfRule>
    <cfRule type="cellIs" dxfId="188" priority="260" stopIfTrue="1" operator="between">
      <formula>0.69</formula>
      <formula>0.45</formula>
    </cfRule>
    <cfRule type="cellIs" dxfId="187" priority="261" stopIfTrue="1" operator="between">
      <formula>0</formula>
      <formula>0.44</formula>
    </cfRule>
  </conditionalFormatting>
  <conditionalFormatting sqref="R128:R129">
    <cfRule type="cellIs" dxfId="186" priority="254" stopIfTrue="1" operator="greaterThan">
      <formula>0.7</formula>
    </cfRule>
    <cfRule type="cellIs" dxfId="185" priority="255" stopIfTrue="1" operator="between">
      <formula>0.69</formula>
      <formula>0.45</formula>
    </cfRule>
    <cfRule type="cellIs" dxfId="184" priority="256" stopIfTrue="1" operator="between">
      <formula>0</formula>
      <formula>0.44</formula>
    </cfRule>
  </conditionalFormatting>
  <conditionalFormatting sqref="E128:P128">
    <cfRule type="cellIs" dxfId="183" priority="258" stopIfTrue="1" operator="between">
      <formula>1</formula>
      <formula>20</formula>
    </cfRule>
  </conditionalFormatting>
  <conditionalFormatting sqref="E129:P129">
    <cfRule type="cellIs" dxfId="182" priority="257" stopIfTrue="1" operator="between">
      <formula>1</formula>
      <formula>20</formula>
    </cfRule>
  </conditionalFormatting>
  <conditionalFormatting sqref="E120:P120">
    <cfRule type="cellIs" dxfId="181" priority="228" stopIfTrue="1" operator="between">
      <formula>1</formula>
      <formula>20</formula>
    </cfRule>
  </conditionalFormatting>
  <conditionalFormatting sqref="E122:P122">
    <cfRule type="cellIs" dxfId="180" priority="227" stopIfTrue="1" operator="between">
      <formula>1</formula>
      <formula>20</formula>
    </cfRule>
  </conditionalFormatting>
  <conditionalFormatting sqref="E124:P124">
    <cfRule type="cellIs" dxfId="179" priority="226" stopIfTrue="1" operator="between">
      <formula>1</formula>
      <formula>20</formula>
    </cfRule>
  </conditionalFormatting>
  <conditionalFormatting sqref="E126:P126">
    <cfRule type="cellIs" dxfId="178" priority="225" stopIfTrue="1" operator="between">
      <formula>1</formula>
      <formula>20</formula>
    </cfRule>
  </conditionalFormatting>
  <conditionalFormatting sqref="E130:P130">
    <cfRule type="cellIs" dxfId="177" priority="224" stopIfTrue="1" operator="between">
      <formula>1</formula>
      <formula>20</formula>
    </cfRule>
  </conditionalFormatting>
  <conditionalFormatting sqref="E16:P16">
    <cfRule type="cellIs" dxfId="176" priority="222" stopIfTrue="1" operator="between">
      <formula>1</formula>
      <formula>20</formula>
    </cfRule>
  </conditionalFormatting>
  <conditionalFormatting sqref="E17:P17">
    <cfRule type="cellIs" dxfId="175" priority="221" stopIfTrue="1" operator="between">
      <formula>1</formula>
      <formula>20</formula>
    </cfRule>
  </conditionalFormatting>
  <conditionalFormatting sqref="E20:P20">
    <cfRule type="cellIs" dxfId="174" priority="220" stopIfTrue="1" operator="between">
      <formula>1</formula>
      <formula>20</formula>
    </cfRule>
  </conditionalFormatting>
  <conditionalFormatting sqref="E21:P21">
    <cfRule type="cellIs" dxfId="173" priority="219" stopIfTrue="1" operator="between">
      <formula>1</formula>
      <formula>20</formula>
    </cfRule>
  </conditionalFormatting>
  <conditionalFormatting sqref="R20:R21">
    <cfRule type="cellIs" dxfId="172" priority="216" stopIfTrue="1" operator="greaterThan">
      <formula>0.7</formula>
    </cfRule>
    <cfRule type="cellIs" dxfId="171" priority="217" stopIfTrue="1" operator="between">
      <formula>0.69</formula>
      <formula>0.45</formula>
    </cfRule>
    <cfRule type="cellIs" dxfId="170" priority="218" stopIfTrue="1" operator="between">
      <formula>0</formula>
      <formula>0.44</formula>
    </cfRule>
  </conditionalFormatting>
  <conditionalFormatting sqref="E22:P22">
    <cfRule type="cellIs" dxfId="169" priority="215" stopIfTrue="1" operator="between">
      <formula>1</formula>
      <formula>20</formula>
    </cfRule>
  </conditionalFormatting>
  <conditionalFormatting sqref="E23:P23">
    <cfRule type="cellIs" dxfId="168" priority="214" stopIfTrue="1" operator="between">
      <formula>1</formula>
      <formula>20</formula>
    </cfRule>
  </conditionalFormatting>
  <conditionalFormatting sqref="R22:R23">
    <cfRule type="cellIs" dxfId="167" priority="211" stopIfTrue="1" operator="greaterThan">
      <formula>0.7</formula>
    </cfRule>
    <cfRule type="cellIs" dxfId="166" priority="212" stopIfTrue="1" operator="between">
      <formula>0.69</formula>
      <formula>0.45</formula>
    </cfRule>
    <cfRule type="cellIs" dxfId="165" priority="213" stopIfTrue="1" operator="between">
      <formula>0</formula>
      <formula>0.44</formula>
    </cfRule>
  </conditionalFormatting>
  <conditionalFormatting sqref="E24:P24">
    <cfRule type="cellIs" dxfId="164" priority="210" stopIfTrue="1" operator="between">
      <formula>1</formula>
      <formula>20</formula>
    </cfRule>
  </conditionalFormatting>
  <conditionalFormatting sqref="E25:P25">
    <cfRule type="cellIs" dxfId="163" priority="209" stopIfTrue="1" operator="between">
      <formula>1</formula>
      <formula>20</formula>
    </cfRule>
  </conditionalFormatting>
  <conditionalFormatting sqref="R24:R25">
    <cfRule type="cellIs" dxfId="162" priority="206" stopIfTrue="1" operator="greaterThan">
      <formula>0.7</formula>
    </cfRule>
    <cfRule type="cellIs" dxfId="161" priority="207" stopIfTrue="1" operator="between">
      <formula>0.69</formula>
      <formula>0.45</formula>
    </cfRule>
    <cfRule type="cellIs" dxfId="160" priority="208" stopIfTrue="1" operator="between">
      <formula>0</formula>
      <formula>0.44</formula>
    </cfRule>
  </conditionalFormatting>
  <conditionalFormatting sqref="E36:P36">
    <cfRule type="cellIs" dxfId="159" priority="205" stopIfTrue="1" operator="between">
      <formula>1</formula>
      <formula>20</formula>
    </cfRule>
  </conditionalFormatting>
  <conditionalFormatting sqref="E37:P37">
    <cfRule type="cellIs" dxfId="158" priority="204" stopIfTrue="1" operator="between">
      <formula>1</formula>
      <formula>20</formula>
    </cfRule>
  </conditionalFormatting>
  <conditionalFormatting sqref="R36:R37">
    <cfRule type="cellIs" dxfId="157" priority="201" stopIfTrue="1" operator="greaterThan">
      <formula>0.7</formula>
    </cfRule>
    <cfRule type="cellIs" dxfId="156" priority="202" stopIfTrue="1" operator="between">
      <formula>0.69</formula>
      <formula>0.45</formula>
    </cfRule>
    <cfRule type="cellIs" dxfId="155" priority="203" stopIfTrue="1" operator="between">
      <formula>0</formula>
      <formula>0.44</formula>
    </cfRule>
  </conditionalFormatting>
  <conditionalFormatting sqref="E38:P38">
    <cfRule type="cellIs" dxfId="154" priority="200" stopIfTrue="1" operator="between">
      <formula>1</formula>
      <formula>20</formula>
    </cfRule>
  </conditionalFormatting>
  <conditionalFormatting sqref="E39:P39">
    <cfRule type="cellIs" dxfId="153" priority="199" stopIfTrue="1" operator="between">
      <formula>1</formula>
      <formula>20</formula>
    </cfRule>
  </conditionalFormatting>
  <conditionalFormatting sqref="R38:R39">
    <cfRule type="cellIs" dxfId="152" priority="196" stopIfTrue="1" operator="greaterThan">
      <formula>0.7</formula>
    </cfRule>
    <cfRule type="cellIs" dxfId="151" priority="197" stopIfTrue="1" operator="between">
      <formula>0.69</formula>
      <formula>0.45</formula>
    </cfRule>
    <cfRule type="cellIs" dxfId="150" priority="198" stopIfTrue="1" operator="between">
      <formula>0</formula>
      <formula>0.44</formula>
    </cfRule>
  </conditionalFormatting>
  <conditionalFormatting sqref="E40:P40">
    <cfRule type="cellIs" dxfId="149" priority="195" stopIfTrue="1" operator="between">
      <formula>1</formula>
      <formula>20</formula>
    </cfRule>
  </conditionalFormatting>
  <conditionalFormatting sqref="E41:P41">
    <cfRule type="cellIs" dxfId="148" priority="194" stopIfTrue="1" operator="between">
      <formula>1</formula>
      <formula>20</formula>
    </cfRule>
  </conditionalFormatting>
  <conditionalFormatting sqref="R40:R41">
    <cfRule type="cellIs" dxfId="147" priority="191" stopIfTrue="1" operator="greaterThan">
      <formula>0.7</formula>
    </cfRule>
    <cfRule type="cellIs" dxfId="146" priority="192" stopIfTrue="1" operator="between">
      <formula>0.69</formula>
      <formula>0.45</formula>
    </cfRule>
    <cfRule type="cellIs" dxfId="145" priority="193" stopIfTrue="1" operator="between">
      <formula>0</formula>
      <formula>0.44</formula>
    </cfRule>
  </conditionalFormatting>
  <conditionalFormatting sqref="E46:P46">
    <cfRule type="cellIs" dxfId="144" priority="185" stopIfTrue="1" operator="between">
      <formula>1</formula>
      <formula>20</formula>
    </cfRule>
  </conditionalFormatting>
  <conditionalFormatting sqref="E47:P47">
    <cfRule type="cellIs" dxfId="143" priority="184" stopIfTrue="1" operator="between">
      <formula>1</formula>
      <formula>20</formula>
    </cfRule>
  </conditionalFormatting>
  <conditionalFormatting sqref="R46:R47">
    <cfRule type="cellIs" dxfId="142" priority="181" stopIfTrue="1" operator="greaterThan">
      <formula>0.7</formula>
    </cfRule>
    <cfRule type="cellIs" dxfId="141" priority="182" stopIfTrue="1" operator="between">
      <formula>0.69</formula>
      <formula>0.45</formula>
    </cfRule>
    <cfRule type="cellIs" dxfId="140" priority="183" stopIfTrue="1" operator="between">
      <formula>0</formula>
      <formula>0.44</formula>
    </cfRule>
  </conditionalFormatting>
  <conditionalFormatting sqref="E48:P48">
    <cfRule type="cellIs" dxfId="139" priority="180" stopIfTrue="1" operator="between">
      <formula>1</formula>
      <formula>20</formula>
    </cfRule>
  </conditionalFormatting>
  <conditionalFormatting sqref="E49:P49">
    <cfRule type="cellIs" dxfId="138" priority="179" stopIfTrue="1" operator="between">
      <formula>1</formula>
      <formula>20</formula>
    </cfRule>
  </conditionalFormatting>
  <conditionalFormatting sqref="R48:R49">
    <cfRule type="cellIs" dxfId="137" priority="176" stopIfTrue="1" operator="greaterThan">
      <formula>0.7</formula>
    </cfRule>
    <cfRule type="cellIs" dxfId="136" priority="177" stopIfTrue="1" operator="between">
      <formula>0.69</formula>
      <formula>0.45</formula>
    </cfRule>
    <cfRule type="cellIs" dxfId="135" priority="178" stopIfTrue="1" operator="between">
      <formula>0</formula>
      <formula>0.44</formula>
    </cfRule>
  </conditionalFormatting>
  <conditionalFormatting sqref="E50:P50">
    <cfRule type="cellIs" dxfId="134" priority="175" stopIfTrue="1" operator="between">
      <formula>1</formula>
      <formula>20</formula>
    </cfRule>
  </conditionalFormatting>
  <conditionalFormatting sqref="E51:P51">
    <cfRule type="cellIs" dxfId="133" priority="174" stopIfTrue="1" operator="between">
      <formula>1</formula>
      <formula>20</formula>
    </cfRule>
  </conditionalFormatting>
  <conditionalFormatting sqref="R50:R51">
    <cfRule type="cellIs" dxfId="132" priority="171" stopIfTrue="1" operator="greaterThan">
      <formula>0.7</formula>
    </cfRule>
    <cfRule type="cellIs" dxfId="131" priority="172" stopIfTrue="1" operator="between">
      <formula>0.69</formula>
      <formula>0.45</formula>
    </cfRule>
    <cfRule type="cellIs" dxfId="130" priority="173" stopIfTrue="1" operator="between">
      <formula>0</formula>
      <formula>0.44</formula>
    </cfRule>
  </conditionalFormatting>
  <conditionalFormatting sqref="E54:P54">
    <cfRule type="cellIs" dxfId="129" priority="165" stopIfTrue="1" operator="between">
      <formula>1</formula>
      <formula>20</formula>
    </cfRule>
  </conditionalFormatting>
  <conditionalFormatting sqref="E55:P55">
    <cfRule type="cellIs" dxfId="128" priority="164" stopIfTrue="1" operator="between">
      <formula>1</formula>
      <formula>20</formula>
    </cfRule>
  </conditionalFormatting>
  <conditionalFormatting sqref="R54:R55">
    <cfRule type="cellIs" dxfId="127" priority="161" stopIfTrue="1" operator="greaterThan">
      <formula>0.7</formula>
    </cfRule>
    <cfRule type="cellIs" dxfId="126" priority="162" stopIfTrue="1" operator="between">
      <formula>0.69</formula>
      <formula>0.45</formula>
    </cfRule>
    <cfRule type="cellIs" dxfId="125" priority="163" stopIfTrue="1" operator="between">
      <formula>0</formula>
      <formula>0.44</formula>
    </cfRule>
  </conditionalFormatting>
  <conditionalFormatting sqref="E58:P58">
    <cfRule type="cellIs" dxfId="124" priority="160" stopIfTrue="1" operator="between">
      <formula>1</formula>
      <formula>20</formula>
    </cfRule>
  </conditionalFormatting>
  <conditionalFormatting sqref="E59:P59">
    <cfRule type="cellIs" dxfId="123" priority="159" stopIfTrue="1" operator="between">
      <formula>1</formula>
      <formula>20</formula>
    </cfRule>
  </conditionalFormatting>
  <conditionalFormatting sqref="R58:R59">
    <cfRule type="cellIs" dxfId="122" priority="156" stopIfTrue="1" operator="greaterThan">
      <formula>0.7</formula>
    </cfRule>
    <cfRule type="cellIs" dxfId="121" priority="157" stopIfTrue="1" operator="between">
      <formula>0.69</formula>
      <formula>0.45</formula>
    </cfRule>
    <cfRule type="cellIs" dxfId="120" priority="158" stopIfTrue="1" operator="between">
      <formula>0</formula>
      <formula>0.44</formula>
    </cfRule>
  </conditionalFormatting>
  <conditionalFormatting sqref="E60:P60">
    <cfRule type="cellIs" dxfId="119" priority="155" stopIfTrue="1" operator="between">
      <formula>1</formula>
      <formula>20</formula>
    </cfRule>
  </conditionalFormatting>
  <conditionalFormatting sqref="E61:P61">
    <cfRule type="cellIs" dxfId="118" priority="154" stopIfTrue="1" operator="between">
      <formula>1</formula>
      <formula>20</formula>
    </cfRule>
  </conditionalFormatting>
  <conditionalFormatting sqref="R60:R61">
    <cfRule type="cellIs" dxfId="117" priority="151" stopIfTrue="1" operator="greaterThan">
      <formula>0.7</formula>
    </cfRule>
    <cfRule type="cellIs" dxfId="116" priority="152" stopIfTrue="1" operator="between">
      <formula>0.69</formula>
      <formula>0.45</formula>
    </cfRule>
    <cfRule type="cellIs" dxfId="115" priority="153" stopIfTrue="1" operator="between">
      <formula>0</formula>
      <formula>0.44</formula>
    </cfRule>
  </conditionalFormatting>
  <conditionalFormatting sqref="E66:P66">
    <cfRule type="cellIs" dxfId="114" priority="150" stopIfTrue="1" operator="between">
      <formula>1</formula>
      <formula>20</formula>
    </cfRule>
  </conditionalFormatting>
  <conditionalFormatting sqref="E67:P67">
    <cfRule type="cellIs" dxfId="113" priority="149" stopIfTrue="1" operator="between">
      <formula>1</formula>
      <formula>20</formula>
    </cfRule>
  </conditionalFormatting>
  <conditionalFormatting sqref="R66:R67">
    <cfRule type="cellIs" dxfId="112" priority="146" stopIfTrue="1" operator="greaterThan">
      <formula>0.7</formula>
    </cfRule>
    <cfRule type="cellIs" dxfId="111" priority="147" stopIfTrue="1" operator="between">
      <formula>0.69</formula>
      <formula>0.45</formula>
    </cfRule>
    <cfRule type="cellIs" dxfId="110" priority="148" stopIfTrue="1" operator="between">
      <formula>0</formula>
      <formula>0.44</formula>
    </cfRule>
  </conditionalFormatting>
  <conditionalFormatting sqref="E78:P78">
    <cfRule type="cellIs" dxfId="109" priority="145" stopIfTrue="1" operator="between">
      <formula>1</formula>
      <formula>20</formula>
    </cfRule>
  </conditionalFormatting>
  <conditionalFormatting sqref="E79:P79">
    <cfRule type="cellIs" dxfId="108" priority="144" stopIfTrue="1" operator="between">
      <formula>1</formula>
      <formula>20</formula>
    </cfRule>
  </conditionalFormatting>
  <conditionalFormatting sqref="R78:R79">
    <cfRule type="cellIs" dxfId="107" priority="141" stopIfTrue="1" operator="greaterThan">
      <formula>0.7</formula>
    </cfRule>
    <cfRule type="cellIs" dxfId="106" priority="142" stopIfTrue="1" operator="between">
      <formula>0.69</formula>
      <formula>0.45</formula>
    </cfRule>
    <cfRule type="cellIs" dxfId="105" priority="143" stopIfTrue="1" operator="between">
      <formula>0</formula>
      <formula>0.44</formula>
    </cfRule>
  </conditionalFormatting>
  <conditionalFormatting sqref="E80:P80">
    <cfRule type="cellIs" dxfId="104" priority="135" stopIfTrue="1" operator="between">
      <formula>1</formula>
      <formula>20</formula>
    </cfRule>
  </conditionalFormatting>
  <conditionalFormatting sqref="E81:P81">
    <cfRule type="cellIs" dxfId="103" priority="134" stopIfTrue="1" operator="between">
      <formula>1</formula>
      <formula>20</formula>
    </cfRule>
  </conditionalFormatting>
  <conditionalFormatting sqref="R80:R81">
    <cfRule type="cellIs" dxfId="102" priority="131" stopIfTrue="1" operator="greaterThan">
      <formula>0.7</formula>
    </cfRule>
    <cfRule type="cellIs" dxfId="101" priority="132" stopIfTrue="1" operator="between">
      <formula>0.69</formula>
      <formula>0.45</formula>
    </cfRule>
    <cfRule type="cellIs" dxfId="100" priority="133" stopIfTrue="1" operator="between">
      <formula>0</formula>
      <formula>0.44</formula>
    </cfRule>
  </conditionalFormatting>
  <conditionalFormatting sqref="E82:P82">
    <cfRule type="cellIs" dxfId="99" priority="130" stopIfTrue="1" operator="between">
      <formula>1</formula>
      <formula>20</formula>
    </cfRule>
  </conditionalFormatting>
  <conditionalFormatting sqref="E83:P83">
    <cfRule type="cellIs" dxfId="98" priority="129" stopIfTrue="1" operator="between">
      <formula>1</formula>
      <formula>20</formula>
    </cfRule>
  </conditionalFormatting>
  <conditionalFormatting sqref="R82:R83">
    <cfRule type="cellIs" dxfId="97" priority="126" stopIfTrue="1" operator="greaterThan">
      <formula>0.7</formula>
    </cfRule>
    <cfRule type="cellIs" dxfId="96" priority="127" stopIfTrue="1" operator="between">
      <formula>0.69</formula>
      <formula>0.45</formula>
    </cfRule>
    <cfRule type="cellIs" dxfId="95" priority="128" stopIfTrue="1" operator="between">
      <formula>0</formula>
      <formula>0.44</formula>
    </cfRule>
  </conditionalFormatting>
  <conditionalFormatting sqref="E92:P92">
    <cfRule type="cellIs" dxfId="94" priority="110" stopIfTrue="1" operator="between">
      <formula>1</formula>
      <formula>20</formula>
    </cfRule>
  </conditionalFormatting>
  <conditionalFormatting sqref="E93:P93">
    <cfRule type="cellIs" dxfId="93" priority="109" stopIfTrue="1" operator="between">
      <formula>1</formula>
      <formula>20</formula>
    </cfRule>
  </conditionalFormatting>
  <conditionalFormatting sqref="R92:R93">
    <cfRule type="cellIs" dxfId="92" priority="106" stopIfTrue="1" operator="greaterThan">
      <formula>0.7</formula>
    </cfRule>
    <cfRule type="cellIs" dxfId="91" priority="107" stopIfTrue="1" operator="between">
      <formula>0.69</formula>
      <formula>0.45</formula>
    </cfRule>
    <cfRule type="cellIs" dxfId="90" priority="108" stopIfTrue="1" operator="between">
      <formula>0</formula>
      <formula>0.44</formula>
    </cfRule>
  </conditionalFormatting>
  <conditionalFormatting sqref="E88:P88">
    <cfRule type="cellIs" dxfId="89" priority="125" stopIfTrue="1" operator="between">
      <formula>1</formula>
      <formula>20</formula>
    </cfRule>
  </conditionalFormatting>
  <conditionalFormatting sqref="E89:P89">
    <cfRule type="cellIs" dxfId="88" priority="124" stopIfTrue="1" operator="between">
      <formula>1</formula>
      <formula>20</formula>
    </cfRule>
  </conditionalFormatting>
  <conditionalFormatting sqref="R88:R89">
    <cfRule type="cellIs" dxfId="87" priority="121" stopIfTrue="1" operator="greaterThan">
      <formula>0.7</formula>
    </cfRule>
    <cfRule type="cellIs" dxfId="86" priority="122" stopIfTrue="1" operator="between">
      <formula>0.69</formula>
      <formula>0.45</formula>
    </cfRule>
    <cfRule type="cellIs" dxfId="85" priority="123" stopIfTrue="1" operator="between">
      <formula>0</formula>
      <formula>0.44</formula>
    </cfRule>
  </conditionalFormatting>
  <conditionalFormatting sqref="E90:P90">
    <cfRule type="cellIs" dxfId="84" priority="115" stopIfTrue="1" operator="between">
      <formula>1</formula>
      <formula>20</formula>
    </cfRule>
  </conditionalFormatting>
  <conditionalFormatting sqref="E91:P91">
    <cfRule type="cellIs" dxfId="83" priority="114" stopIfTrue="1" operator="between">
      <formula>1</formula>
      <formula>20</formula>
    </cfRule>
  </conditionalFormatting>
  <conditionalFormatting sqref="R90:R91">
    <cfRule type="cellIs" dxfId="82" priority="111" stopIfTrue="1" operator="greaterThan">
      <formula>0.7</formula>
    </cfRule>
    <cfRule type="cellIs" dxfId="81" priority="112" stopIfTrue="1" operator="between">
      <formula>0.69</formula>
      <formula>0.45</formula>
    </cfRule>
    <cfRule type="cellIs" dxfId="80" priority="113" stopIfTrue="1" operator="between">
      <formula>0</formula>
      <formula>0.44</formula>
    </cfRule>
  </conditionalFormatting>
  <conditionalFormatting sqref="E109:P109">
    <cfRule type="cellIs" dxfId="79" priority="105" stopIfTrue="1" operator="between">
      <formula>1</formula>
      <formula>20</formula>
    </cfRule>
  </conditionalFormatting>
  <conditionalFormatting sqref="R108:R109">
    <cfRule type="cellIs" dxfId="78" priority="102" stopIfTrue="1" operator="greaterThan">
      <formula>0.7</formula>
    </cfRule>
    <cfRule type="cellIs" dxfId="77" priority="103" stopIfTrue="1" operator="between">
      <formula>0.69</formula>
      <formula>0.45</formula>
    </cfRule>
    <cfRule type="cellIs" dxfId="76" priority="104" stopIfTrue="1" operator="between">
      <formula>0</formula>
      <formula>0.44</formula>
    </cfRule>
  </conditionalFormatting>
  <conditionalFormatting sqref="E108:P108">
    <cfRule type="cellIs" dxfId="75" priority="101" stopIfTrue="1" operator="between">
      <formula>1</formula>
      <formula>20</formula>
    </cfRule>
  </conditionalFormatting>
  <conditionalFormatting sqref="E111:P111">
    <cfRule type="cellIs" dxfId="74" priority="100" stopIfTrue="1" operator="between">
      <formula>1</formula>
      <formula>20</formula>
    </cfRule>
  </conditionalFormatting>
  <conditionalFormatting sqref="R110:R111">
    <cfRule type="cellIs" dxfId="73" priority="97" stopIfTrue="1" operator="greaterThan">
      <formula>0.7</formula>
    </cfRule>
    <cfRule type="cellIs" dxfId="72" priority="98" stopIfTrue="1" operator="between">
      <formula>0.69</formula>
      <formula>0.45</formula>
    </cfRule>
    <cfRule type="cellIs" dxfId="71" priority="99" stopIfTrue="1" operator="between">
      <formula>0</formula>
      <formula>0.44</formula>
    </cfRule>
  </conditionalFormatting>
  <conditionalFormatting sqref="E110:P110">
    <cfRule type="cellIs" dxfId="70" priority="96" stopIfTrue="1" operator="between">
      <formula>1</formula>
      <formula>20</formula>
    </cfRule>
  </conditionalFormatting>
  <conditionalFormatting sqref="E113:P113">
    <cfRule type="cellIs" dxfId="69" priority="95" stopIfTrue="1" operator="between">
      <formula>1</formula>
      <formula>20</formula>
    </cfRule>
  </conditionalFormatting>
  <conditionalFormatting sqref="R112:R113">
    <cfRule type="cellIs" dxfId="68" priority="92" stopIfTrue="1" operator="greaterThan">
      <formula>0.7</formula>
    </cfRule>
    <cfRule type="cellIs" dxfId="67" priority="93" stopIfTrue="1" operator="between">
      <formula>0.69</formula>
      <formula>0.45</formula>
    </cfRule>
    <cfRule type="cellIs" dxfId="66" priority="94" stopIfTrue="1" operator="between">
      <formula>0</formula>
      <formula>0.44</formula>
    </cfRule>
  </conditionalFormatting>
  <conditionalFormatting sqref="E112:P112">
    <cfRule type="cellIs" dxfId="65" priority="91" stopIfTrue="1" operator="between">
      <formula>1</formula>
      <formula>20</formula>
    </cfRule>
  </conditionalFormatting>
  <conditionalFormatting sqref="E32:P32">
    <cfRule type="cellIs" dxfId="64" priority="15" stopIfTrue="1" operator="between">
      <formula>1</formula>
      <formula>20</formula>
    </cfRule>
  </conditionalFormatting>
  <conditionalFormatting sqref="E33:P33">
    <cfRule type="cellIs" dxfId="63" priority="14" stopIfTrue="1" operator="between">
      <formula>1</formula>
      <formula>20</formula>
    </cfRule>
  </conditionalFormatting>
  <conditionalFormatting sqref="R32:R33">
    <cfRule type="cellIs" dxfId="62" priority="11" stopIfTrue="1" operator="greaterThan">
      <formula>0.7</formula>
    </cfRule>
    <cfRule type="cellIs" dxfId="61" priority="12" stopIfTrue="1" operator="between">
      <formula>0.69</formula>
      <formula>0.45</formula>
    </cfRule>
    <cfRule type="cellIs" dxfId="60" priority="13" stopIfTrue="1" operator="between">
      <formula>0</formula>
      <formula>0.44</formula>
    </cfRule>
  </conditionalFormatting>
  <conditionalFormatting sqref="E133:P133">
    <cfRule type="cellIs" dxfId="59" priority="85" stopIfTrue="1" operator="between">
      <formula>1</formula>
      <formula>20</formula>
    </cfRule>
  </conditionalFormatting>
  <conditionalFormatting sqref="R132:R133">
    <cfRule type="cellIs" dxfId="58" priority="82" stopIfTrue="1" operator="greaterThan">
      <formula>0.7</formula>
    </cfRule>
    <cfRule type="cellIs" dxfId="57" priority="83" stopIfTrue="1" operator="between">
      <formula>0.69</formula>
      <formula>0.45</formula>
    </cfRule>
    <cfRule type="cellIs" dxfId="56" priority="84" stopIfTrue="1" operator="between">
      <formula>0</formula>
      <formula>0.44</formula>
    </cfRule>
  </conditionalFormatting>
  <conditionalFormatting sqref="E132:P132">
    <cfRule type="cellIs" dxfId="55" priority="81" stopIfTrue="1" operator="between">
      <formula>1</formula>
      <formula>20</formula>
    </cfRule>
  </conditionalFormatting>
  <conditionalFormatting sqref="E135:P135">
    <cfRule type="cellIs" dxfId="54" priority="75" stopIfTrue="1" operator="between">
      <formula>1</formula>
      <formula>20</formula>
    </cfRule>
  </conditionalFormatting>
  <conditionalFormatting sqref="R134:R135">
    <cfRule type="cellIs" dxfId="53" priority="72" stopIfTrue="1" operator="greaterThan">
      <formula>0.7</formula>
    </cfRule>
    <cfRule type="cellIs" dxfId="52" priority="73" stopIfTrue="1" operator="between">
      <formula>0.69</formula>
      <formula>0.45</formula>
    </cfRule>
    <cfRule type="cellIs" dxfId="51" priority="74" stopIfTrue="1" operator="between">
      <formula>0</formula>
      <formula>0.44</formula>
    </cfRule>
  </conditionalFormatting>
  <conditionalFormatting sqref="E134:P134">
    <cfRule type="cellIs" dxfId="50" priority="71" stopIfTrue="1" operator="between">
      <formula>1</formula>
      <formula>20</formula>
    </cfRule>
  </conditionalFormatting>
  <conditionalFormatting sqref="E137:P137">
    <cfRule type="cellIs" dxfId="49" priority="70" stopIfTrue="1" operator="between">
      <formula>1</formula>
      <formula>20</formula>
    </cfRule>
  </conditionalFormatting>
  <conditionalFormatting sqref="R136:R137">
    <cfRule type="cellIs" dxfId="48" priority="67" stopIfTrue="1" operator="greaterThan">
      <formula>0.7</formula>
    </cfRule>
    <cfRule type="cellIs" dxfId="47" priority="68" stopIfTrue="1" operator="between">
      <formula>0.69</formula>
      <formula>0.45</formula>
    </cfRule>
    <cfRule type="cellIs" dxfId="46" priority="69" stopIfTrue="1" operator="between">
      <formula>0</formula>
      <formula>0.44</formula>
    </cfRule>
  </conditionalFormatting>
  <conditionalFormatting sqref="E136:P136">
    <cfRule type="cellIs" dxfId="45" priority="66" stopIfTrue="1" operator="between">
      <formula>1</formula>
      <formula>20</formula>
    </cfRule>
  </conditionalFormatting>
  <conditionalFormatting sqref="E139:P139">
    <cfRule type="cellIs" dxfId="44" priority="65" stopIfTrue="1" operator="between">
      <formula>1</formula>
      <formula>20</formula>
    </cfRule>
  </conditionalFormatting>
  <conditionalFormatting sqref="R138:R139">
    <cfRule type="cellIs" dxfId="43" priority="62" stopIfTrue="1" operator="greaterThan">
      <formula>0.7</formula>
    </cfRule>
    <cfRule type="cellIs" dxfId="42" priority="63" stopIfTrue="1" operator="between">
      <formula>0.69</formula>
      <formula>0.45</formula>
    </cfRule>
    <cfRule type="cellIs" dxfId="41" priority="64" stopIfTrue="1" operator="between">
      <formula>0</formula>
      <formula>0.44</formula>
    </cfRule>
  </conditionalFormatting>
  <conditionalFormatting sqref="E138:P138">
    <cfRule type="cellIs" dxfId="40" priority="61" stopIfTrue="1" operator="between">
      <formula>1</formula>
      <formula>20</formula>
    </cfRule>
  </conditionalFormatting>
  <conditionalFormatting sqref="E141:P141">
    <cfRule type="cellIs" dxfId="39" priority="60" stopIfTrue="1" operator="between">
      <formula>1</formula>
      <formula>20</formula>
    </cfRule>
  </conditionalFormatting>
  <conditionalFormatting sqref="R140:R141">
    <cfRule type="cellIs" dxfId="38" priority="57" stopIfTrue="1" operator="greaterThan">
      <formula>0.7</formula>
    </cfRule>
    <cfRule type="cellIs" dxfId="37" priority="58" stopIfTrue="1" operator="between">
      <formula>0.69</formula>
      <formula>0.45</formula>
    </cfRule>
    <cfRule type="cellIs" dxfId="36" priority="59" stopIfTrue="1" operator="between">
      <formula>0</formula>
      <formula>0.44</formula>
    </cfRule>
  </conditionalFormatting>
  <conditionalFormatting sqref="E140:P140">
    <cfRule type="cellIs" dxfId="35" priority="56" stopIfTrue="1" operator="between">
      <formula>1</formula>
      <formula>20</formula>
    </cfRule>
  </conditionalFormatting>
  <conditionalFormatting sqref="E143:P143">
    <cfRule type="cellIs" dxfId="34" priority="55" stopIfTrue="1" operator="between">
      <formula>1</formula>
      <formula>20</formula>
    </cfRule>
  </conditionalFormatting>
  <conditionalFormatting sqref="R142:R143">
    <cfRule type="cellIs" dxfId="33" priority="52" stopIfTrue="1" operator="greaterThan">
      <formula>0.7</formula>
    </cfRule>
    <cfRule type="cellIs" dxfId="32" priority="53" stopIfTrue="1" operator="between">
      <formula>0.69</formula>
      <formula>0.45</formula>
    </cfRule>
    <cfRule type="cellIs" dxfId="31" priority="54" stopIfTrue="1" operator="between">
      <formula>0</formula>
      <formula>0.44</formula>
    </cfRule>
  </conditionalFormatting>
  <conditionalFormatting sqref="E142:P142">
    <cfRule type="cellIs" dxfId="30" priority="51" stopIfTrue="1" operator="between">
      <formula>1</formula>
      <formula>20</formula>
    </cfRule>
  </conditionalFormatting>
  <conditionalFormatting sqref="E145:P145">
    <cfRule type="cellIs" dxfId="29" priority="40" stopIfTrue="1" operator="between">
      <formula>1</formula>
      <formula>20</formula>
    </cfRule>
  </conditionalFormatting>
  <conditionalFormatting sqref="R144:R145">
    <cfRule type="cellIs" dxfId="28" priority="37" stopIfTrue="1" operator="greaterThan">
      <formula>0.7</formula>
    </cfRule>
    <cfRule type="cellIs" dxfId="27" priority="38" stopIfTrue="1" operator="between">
      <formula>0.69</formula>
      <formula>0.45</formula>
    </cfRule>
    <cfRule type="cellIs" dxfId="26" priority="39" stopIfTrue="1" operator="between">
      <formula>0</formula>
      <formula>0.44</formula>
    </cfRule>
  </conditionalFormatting>
  <conditionalFormatting sqref="E144:P144">
    <cfRule type="cellIs" dxfId="25" priority="36" stopIfTrue="1" operator="between">
      <formula>1</formula>
      <formula>20</formula>
    </cfRule>
  </conditionalFormatting>
  <conditionalFormatting sqref="E147:P147">
    <cfRule type="cellIs" dxfId="24" priority="35" stopIfTrue="1" operator="between">
      <formula>1</formula>
      <formula>20</formula>
    </cfRule>
  </conditionalFormatting>
  <conditionalFormatting sqref="R146:R147">
    <cfRule type="cellIs" dxfId="23" priority="32" stopIfTrue="1" operator="greaterThan">
      <formula>0.7</formula>
    </cfRule>
    <cfRule type="cellIs" dxfId="22" priority="33" stopIfTrue="1" operator="between">
      <formula>0.69</formula>
      <formula>0.45</formula>
    </cfRule>
    <cfRule type="cellIs" dxfId="21" priority="34" stopIfTrue="1" operator="between">
      <formula>0</formula>
      <formula>0.44</formula>
    </cfRule>
  </conditionalFormatting>
  <conditionalFormatting sqref="E146:P146">
    <cfRule type="cellIs" dxfId="20" priority="31" stopIfTrue="1" operator="between">
      <formula>1</formula>
      <formula>20</formula>
    </cfRule>
  </conditionalFormatting>
  <conditionalFormatting sqref="E28:P28">
    <cfRule type="cellIs" dxfId="19" priority="30" stopIfTrue="1" operator="between">
      <formula>1</formula>
      <formula>20</formula>
    </cfRule>
  </conditionalFormatting>
  <conditionalFormatting sqref="E29:P29">
    <cfRule type="cellIs" dxfId="18" priority="29" stopIfTrue="1" operator="between">
      <formula>1</formula>
      <formula>20</formula>
    </cfRule>
  </conditionalFormatting>
  <conditionalFormatting sqref="R28:R29">
    <cfRule type="cellIs" dxfId="17" priority="26" stopIfTrue="1" operator="greaterThan">
      <formula>0.7</formula>
    </cfRule>
    <cfRule type="cellIs" dxfId="16" priority="27" stopIfTrue="1" operator="between">
      <formula>0.69</formula>
      <formula>0.45</formula>
    </cfRule>
    <cfRule type="cellIs" dxfId="15" priority="28" stopIfTrue="1" operator="between">
      <formula>0</formula>
      <formula>0.44</formula>
    </cfRule>
  </conditionalFormatting>
  <conditionalFormatting sqref="E30:P30">
    <cfRule type="cellIs" dxfId="14" priority="25" stopIfTrue="1" operator="between">
      <formula>1</formula>
      <formula>20</formula>
    </cfRule>
  </conditionalFormatting>
  <conditionalFormatting sqref="E31:P31">
    <cfRule type="cellIs" dxfId="13" priority="24" stopIfTrue="1" operator="between">
      <formula>1</formula>
      <formula>20</formula>
    </cfRule>
  </conditionalFormatting>
  <conditionalFormatting sqref="R30:R31">
    <cfRule type="cellIs" dxfId="12" priority="21" stopIfTrue="1" operator="greaterThan">
      <formula>0.7</formula>
    </cfRule>
    <cfRule type="cellIs" dxfId="11" priority="22" stopIfTrue="1" operator="between">
      <formula>0.69</formula>
      <formula>0.45</formula>
    </cfRule>
    <cfRule type="cellIs" dxfId="10" priority="23" stopIfTrue="1" operator="between">
      <formula>0</formula>
      <formula>0.44</formula>
    </cfRule>
  </conditionalFormatting>
  <conditionalFormatting sqref="E64:P64">
    <cfRule type="cellIs" dxfId="9" priority="10" stopIfTrue="1" operator="between">
      <formula>1</formula>
      <formula>20</formula>
    </cfRule>
  </conditionalFormatting>
  <conditionalFormatting sqref="E65:P65">
    <cfRule type="cellIs" dxfId="8" priority="9" stopIfTrue="1" operator="between">
      <formula>1</formula>
      <formula>20</formula>
    </cfRule>
  </conditionalFormatting>
  <conditionalFormatting sqref="R64:R65">
    <cfRule type="cellIs" dxfId="7" priority="6" stopIfTrue="1" operator="greaterThan">
      <formula>0.7</formula>
    </cfRule>
    <cfRule type="cellIs" dxfId="6" priority="7" stopIfTrue="1" operator="between">
      <formula>0.69</formula>
      <formula>0.45</formula>
    </cfRule>
    <cfRule type="cellIs" dxfId="5" priority="8" stopIfTrue="1" operator="between">
      <formula>0</formula>
      <formula>0.44</formula>
    </cfRule>
  </conditionalFormatting>
  <conditionalFormatting sqref="E34:P34">
    <cfRule type="cellIs" dxfId="4" priority="5" stopIfTrue="1" operator="between">
      <formula>1</formula>
      <formula>20</formula>
    </cfRule>
  </conditionalFormatting>
  <conditionalFormatting sqref="E35:P35">
    <cfRule type="cellIs" dxfId="3" priority="4" stopIfTrue="1" operator="between">
      <formula>1</formula>
      <formula>20</formula>
    </cfRule>
  </conditionalFormatting>
  <conditionalFormatting sqref="R34:R35">
    <cfRule type="cellIs" dxfId="2" priority="1" stopIfTrue="1" operator="greaterThan">
      <formula>0.7</formula>
    </cfRule>
    <cfRule type="cellIs" dxfId="1" priority="2" stopIfTrue="1" operator="between">
      <formula>0.69</formula>
      <formula>0.45</formula>
    </cfRule>
    <cfRule type="cellIs" dxfId="0" priority="3" stopIfTrue="1" operator="between">
      <formula>0</formula>
      <formula>0.44</formula>
    </cfRule>
  </conditionalFormatting>
  <printOptions horizontalCentered="1"/>
  <pageMargins left="0.39370078740157483" right="0.39370078740157483" top="0.59055118110236227" bottom="0.59055118110236227" header="0" footer="0"/>
  <pageSetup scale="59" fitToHeight="0" orientation="landscape" horizontalDpi="300" verticalDpi="196" r:id="rId1"/>
  <headerFooter alignWithMargins="0">
    <oddFooter>&amp;R&amp;8&amp;P/&amp;N</oddFooter>
  </headerFooter>
  <ignoredErrors>
    <ignoredError sqref="Q16:R16 Q18 Q74 Q76 Q84 Q86 Q94 Q96 Q152:R152 E160:Q160 E161:O161 P161:Q161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</vt:lpstr>
      <vt:lpstr>'1'!Área_de_impresión</vt:lpstr>
      <vt:lpstr>'1'!Títulos_a_imprimir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SSECAM CONSULTORES SAS;RICARDO ABSALON BERNAL</dc:creator>
  <cp:lastModifiedBy>user</cp:lastModifiedBy>
  <cp:lastPrinted>2017-02-03T07:50:00Z</cp:lastPrinted>
  <dcterms:created xsi:type="dcterms:W3CDTF">2008-10-02T15:12:04Z</dcterms:created>
  <dcterms:modified xsi:type="dcterms:W3CDTF">2022-01-11T18:23:05Z</dcterms:modified>
</cp:coreProperties>
</file>
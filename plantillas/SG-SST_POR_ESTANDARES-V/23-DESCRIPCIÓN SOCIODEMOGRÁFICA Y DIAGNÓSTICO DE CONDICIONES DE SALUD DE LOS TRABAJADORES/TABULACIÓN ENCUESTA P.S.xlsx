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LENOVO 1\Documents\MIO\SST\SG-SST NUEVO SUPERCOMERCIALDELLLANO\SG-SST-RE-REGISTROS\TABULACION DE ENCUENTA DE PERFIL SOCIODEMOGRAFICO\"/>
    </mc:Choice>
  </mc:AlternateContent>
  <xr:revisionPtr revIDLastSave="0" documentId="13_ncr:1_{D3538819-15C4-484F-A72E-E77C7869650C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ENCUESTADOS " sheetId="3" r:id="rId1"/>
    <sheet name="TABULACION 1" sheetId="1" r:id="rId2"/>
    <sheet name="TABULACION 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J4" i="1" l="1"/>
  <c r="BJ3" i="1"/>
  <c r="BJ5" i="1" s="1"/>
  <c r="BA22" i="1"/>
  <c r="BA21" i="1"/>
  <c r="BA23" i="1" s="1"/>
  <c r="BA5" i="1"/>
  <c r="BA4" i="1"/>
  <c r="BA6" i="1" s="1"/>
  <c r="AT22" i="1"/>
  <c r="AT21" i="1"/>
  <c r="AT23" i="1" s="1"/>
  <c r="AT8" i="1"/>
  <c r="AT7" i="1"/>
  <c r="AT6" i="1"/>
  <c r="AT5" i="1"/>
  <c r="AT4" i="1"/>
  <c r="AT9" i="1" s="1"/>
  <c r="AL21" i="1"/>
  <c r="AL25" i="1"/>
  <c r="AL24" i="1"/>
  <c r="AL23" i="1"/>
  <c r="AL22" i="1"/>
  <c r="AL8" i="1"/>
  <c r="AL7" i="1"/>
  <c r="AL6" i="1"/>
  <c r="AL5" i="1"/>
  <c r="AL4" i="1"/>
  <c r="AL9" i="1" s="1"/>
  <c r="AL26" i="1" l="1"/>
  <c r="AA45" i="1"/>
  <c r="AA44" i="1"/>
  <c r="AA46" i="1"/>
  <c r="AA43" i="1"/>
  <c r="S23" i="1"/>
  <c r="S22" i="1"/>
  <c r="S21" i="1"/>
  <c r="S20" i="1"/>
  <c r="S8" i="1"/>
  <c r="S7" i="1"/>
  <c r="S6" i="1"/>
  <c r="S5" i="1"/>
  <c r="S4" i="1"/>
  <c r="S9" i="1" s="1"/>
  <c r="L23" i="1"/>
  <c r="L21" i="1"/>
  <c r="L22" i="1"/>
  <c r="L20" i="1"/>
  <c r="K5" i="1"/>
  <c r="K4" i="1"/>
  <c r="D22" i="1"/>
  <c r="D21" i="1"/>
  <c r="D20" i="1"/>
  <c r="D23" i="1"/>
  <c r="K6" i="1" l="1"/>
  <c r="S24" i="1"/>
  <c r="L24" i="1"/>
  <c r="AA47" i="1"/>
  <c r="D24" i="1"/>
  <c r="D7" i="1" l="1"/>
  <c r="D6" i="1"/>
  <c r="D5" i="1"/>
  <c r="D4" i="1"/>
  <c r="D8" i="1" l="1"/>
</calcChain>
</file>

<file path=xl/sharedStrings.xml><?xml version="1.0" encoding="utf-8"?>
<sst xmlns="http://schemas.openxmlformats.org/spreadsheetml/2006/main" count="239" uniqueCount="160">
  <si>
    <t xml:space="preserve">1. ¿Qué edad tiene? </t>
  </si>
  <si>
    <t xml:space="preserve">A. </t>
  </si>
  <si>
    <t xml:space="preserve">18-25 años </t>
  </si>
  <si>
    <t xml:space="preserve">B. </t>
  </si>
  <si>
    <t>26-35 años</t>
  </si>
  <si>
    <t xml:space="preserve">C. </t>
  </si>
  <si>
    <t>36-45 años</t>
  </si>
  <si>
    <t xml:space="preserve">D. </t>
  </si>
  <si>
    <t xml:space="preserve">46 años o más. </t>
  </si>
  <si>
    <t xml:space="preserve">MUESTRA </t>
  </si>
  <si>
    <t xml:space="preserve">% </t>
  </si>
  <si>
    <t xml:space="preserve">soltero (a) </t>
  </si>
  <si>
    <t xml:space="preserve">Union Libre </t>
  </si>
  <si>
    <t xml:space="preserve">Casado (a) </t>
  </si>
  <si>
    <t xml:space="preserve">Divorciado (a) </t>
  </si>
  <si>
    <t xml:space="preserve">2. ¿Cuál es su estado civil? </t>
  </si>
  <si>
    <t>Mujer</t>
  </si>
  <si>
    <t>Hombre</t>
  </si>
  <si>
    <t xml:space="preserve">4. ¿Numero de personas a cargo? </t>
  </si>
  <si>
    <t>A</t>
  </si>
  <si>
    <t>Ninguna</t>
  </si>
  <si>
    <t>1-3 personas</t>
  </si>
  <si>
    <t>4-6 personas</t>
  </si>
  <si>
    <t>Mas de 6 personas</t>
  </si>
  <si>
    <t xml:space="preserve">5. ¿Nivel de escolaridad? </t>
  </si>
  <si>
    <t xml:space="preserve">Primaria </t>
  </si>
  <si>
    <t>Secundaria</t>
  </si>
  <si>
    <t>Tecnico/tecnologo</t>
  </si>
  <si>
    <t xml:space="preserve">Universidad </t>
  </si>
  <si>
    <t>Ninguna.</t>
  </si>
  <si>
    <t>E</t>
  </si>
  <si>
    <t>Propia</t>
  </si>
  <si>
    <t>Arrendada</t>
  </si>
  <si>
    <t>Familia</t>
  </si>
  <si>
    <t>Compartida con otras familias</t>
  </si>
  <si>
    <t>D.</t>
  </si>
  <si>
    <t xml:space="preserve">6. Tenencia de vivienda </t>
  </si>
  <si>
    <t xml:space="preserve">7. Uso del tiempo libre  </t>
  </si>
  <si>
    <t xml:space="preserve">Otro trabajo </t>
  </si>
  <si>
    <t>Labores domesticas</t>
  </si>
  <si>
    <t>Recreacion y deporte</t>
  </si>
  <si>
    <t>Estudio</t>
  </si>
  <si>
    <t xml:space="preserve">F. </t>
  </si>
  <si>
    <t>Labores domesticas- recreacion y deporte</t>
  </si>
  <si>
    <t>Otro trabajo- labores domesticas</t>
  </si>
  <si>
    <t>H.</t>
  </si>
  <si>
    <t>G.</t>
  </si>
  <si>
    <t>Labores domesticas- recreacion y deporte- otro trabajo- estudio</t>
  </si>
  <si>
    <t>8. Promedio de Ingresos.</t>
  </si>
  <si>
    <t>Minimo legal (S.M.L)</t>
  </si>
  <si>
    <t>Entre 1 a 2 S.M.L</t>
  </si>
  <si>
    <t xml:space="preserve">Entre 3 a 4 S.M.L </t>
  </si>
  <si>
    <t xml:space="preserve">Mas de 5 S.M.L </t>
  </si>
  <si>
    <t>9. Antigüedad en la empresa</t>
  </si>
  <si>
    <t xml:space="preserve">Menos de 1 mes </t>
  </si>
  <si>
    <t xml:space="preserve">De 1 a 6 meses </t>
  </si>
  <si>
    <t xml:space="preserve">de 7 a 11 meses </t>
  </si>
  <si>
    <t xml:space="preserve">De 1 a 2 años </t>
  </si>
  <si>
    <t xml:space="preserve">E. </t>
  </si>
  <si>
    <t xml:space="preserve">Mas de 2 años. </t>
  </si>
  <si>
    <t>10. Antigüedad en el cargo actual</t>
  </si>
  <si>
    <t>11. Ha participado en actividades de salud realizadas por la empresa</t>
  </si>
  <si>
    <t>Vacunacion</t>
  </si>
  <si>
    <t>Salud Oral</t>
  </si>
  <si>
    <t>Examenes de laboratorio y otros</t>
  </si>
  <si>
    <t>Examenes medicos anuales</t>
  </si>
  <si>
    <t xml:space="preserve">Ninguna </t>
  </si>
  <si>
    <t>11. Le han diagnosticado alguna enfermedad</t>
  </si>
  <si>
    <t>Si</t>
  </si>
  <si>
    <t>No</t>
  </si>
  <si>
    <t>De 7 a 11 meses</t>
  </si>
  <si>
    <t xml:space="preserve">Mas de 2 años </t>
  </si>
  <si>
    <t>Cual: diabetes</t>
  </si>
  <si>
    <t xml:space="preserve">13. ¿Consume bebidas alcoholicas? </t>
  </si>
  <si>
    <t xml:space="preserve">Frecuencia </t>
  </si>
  <si>
    <t xml:space="preserve">a. </t>
  </si>
  <si>
    <t>Semanal</t>
  </si>
  <si>
    <t xml:space="preserve">b. </t>
  </si>
  <si>
    <t>Quincenal</t>
  </si>
  <si>
    <t xml:space="preserve">c. </t>
  </si>
  <si>
    <t xml:space="preserve">Mensual </t>
  </si>
  <si>
    <t xml:space="preserve">d. </t>
  </si>
  <si>
    <t xml:space="preserve">Ocasional </t>
  </si>
  <si>
    <t xml:space="preserve">14. ¿Práctica algún deporte? </t>
  </si>
  <si>
    <t xml:space="preserve">ciclismo </t>
  </si>
  <si>
    <t xml:space="preserve">3 veces a la semana </t>
  </si>
  <si>
    <t>futbol</t>
  </si>
  <si>
    <t>futbol , futbol</t>
  </si>
  <si>
    <t xml:space="preserve">15. ¿Fuma? </t>
  </si>
  <si>
    <t>Si, ocasional</t>
  </si>
  <si>
    <t>SINTOMA</t>
  </si>
  <si>
    <t>Dolor de cabeza</t>
  </si>
  <si>
    <t>Dolor de cuello, espalda y cintura</t>
  </si>
  <si>
    <t>Dolores musculares</t>
  </si>
  <si>
    <t>Dificultad para algún movimiento</t>
  </si>
  <si>
    <t>Tos frecuente</t>
  </si>
  <si>
    <t>Dificultad respiratoria</t>
  </si>
  <si>
    <t>Gastritis, ulcera</t>
  </si>
  <si>
    <t>Otras alteraciones del funcionamiento digestivo</t>
  </si>
  <si>
    <t>Alteraciones del sueño (insomnio, somnolencia)</t>
  </si>
  <si>
    <t>Dificultad para concentrarse</t>
  </si>
  <si>
    <t>Estrés</t>
  </si>
  <si>
    <t>Nerviosismo</t>
  </si>
  <si>
    <t>Cansancio mental</t>
  </si>
  <si>
    <t>Palpitaciones cardíacas</t>
  </si>
  <si>
    <t>Dolor en el pecho (angina)</t>
  </si>
  <si>
    <t>Cambios visuales</t>
  </si>
  <si>
    <t>Cansancio, fatiga, ardor o disconfor visual</t>
  </si>
  <si>
    <t>Pitos o ruidos continuos o intermitentes en los oídos</t>
  </si>
  <si>
    <t>Dificultad para oír</t>
  </si>
  <si>
    <t>Sensación permanente de cansancio</t>
  </si>
  <si>
    <t>Alteraciones en la piel</t>
  </si>
  <si>
    <t>Otras alteraciones no anotadas</t>
  </si>
  <si>
    <t xml:space="preserve">PERSONAS QUE MANIFESTARON EL SINTOMA </t>
  </si>
  <si>
    <t>16. CUALES DE LAS SIGUIENTES MOLESTIAS HA SENTIDO CON FRECUENCIA EN LOS ULTIMOS SEIS (6) MESES</t>
  </si>
  <si>
    <t>CONDICION</t>
  </si>
  <si>
    <t xml:space="preserve">PERSONAS QUE SE IDENTIFICAN CON LA CONDICION </t>
  </si>
  <si>
    <t>17. EN EL DESARROLLO DE SU LABOR ENCUENTRA LAS SIGUIENTES CONDICIONES:</t>
  </si>
  <si>
    <t xml:space="preserve">SI </t>
  </si>
  <si>
    <t xml:space="preserve">NO </t>
  </si>
  <si>
    <t>1. ¿Conoce los riesgos a los que está expuesto en su lugar de trabajo?</t>
  </si>
  <si>
    <t>2. ¿Ha recibido capacitación sobre el manejo de los riesgos a los que está expuesto?</t>
  </si>
  <si>
    <t>3.¿Considera que la iluminación de su puesto de trabajo es adecuada?</t>
  </si>
  <si>
    <t>4.¿La temperatura de su sitio de trabajo le ocasiona molestias?</t>
  </si>
  <si>
    <t>5.¿En su sitio de trabajo hay presencia de polvo en el ambiente?</t>
  </si>
  <si>
    <t>6.¿Considera que los pisos, techos, paredes, escaleras, presentan riesgo para su salud?</t>
  </si>
  <si>
    <t>7.¿Existen cables sin entubar, empalmes defectuosos, tomas eléctricas sobrecargadas, trasformadores defectuosos?</t>
  </si>
  <si>
    <t>8.¿Los sitios destinados para el almacenamiento son suficientes, poseen espacio adecuado y los insumos y productos se encuentran bien apilados?</t>
  </si>
  <si>
    <t>9.¿Las tareas que desarrolla le exigen realizar movimientos repetitivos?</t>
  </si>
  <si>
    <t>10.¿Permanece en una misma posición (sentado o de pie) durante más del 60% de la jornada de trabajo?</t>
  </si>
  <si>
    <t>11.¿La altura de la superficie de trabajo es la adecuada a su estatura, la silla y la labor que realiza?</t>
  </si>
  <si>
    <t>12.¿Tiene espacio suficiente para variar la posición de las piernas y rodillas?</t>
  </si>
  <si>
    <t>13.¿La silla es cómoda y permite ajustarlo a su medida?</t>
  </si>
  <si>
    <t>14.¿En general dispone de espacio suficiente  para realizar el trabajo con amplitud?</t>
  </si>
  <si>
    <t>15.¿Su trabajo le exige mantenerse frente a la pantalla del computador más del 50% de la jornada?</t>
  </si>
  <si>
    <t>16.¿Al finalizar la jornada laboral, el cansancio que se siente podría calificarse de “normal”?</t>
  </si>
  <si>
    <t>17.¿Considera adecuada la distribución del horario de trabajo, de los turnos, de las horas de descanso, horas extras y pausas?</t>
  </si>
  <si>
    <t>18.¿El trabajo que desempeña le permite  aplicar sus habilidades y conocimientos?</t>
  </si>
  <si>
    <t>19.¿Su jefe le pide opinión sobre asuntos relacionados con su trabajo?</t>
  </si>
  <si>
    <t>20.¿La empresa cuenta con agua potable?</t>
  </si>
  <si>
    <t>21.¿Existe buen manejo de basuras y desechos?</t>
  </si>
  <si>
    <t>22.¿El ruido ambiental le permite mantener una conversación con los compañeros sin elevar  el tono de voz?</t>
  </si>
  <si>
    <t>23.¿Existe en su sitio de trabajo riesgos de incendio o explosión?</t>
  </si>
  <si>
    <t>24.¿Puede abandonar el trabajo por unos minutos sin necesidad que lo sustituyan?</t>
  </si>
  <si>
    <t>25.¿Su trabajo lo realiza al aire libre?</t>
  </si>
  <si>
    <t>26.¿Las tareas que realiza le producen  “sensación de peligrosidad”?</t>
  </si>
  <si>
    <t>27.¿Su labor le exige levantar y transportar cargas?</t>
  </si>
  <si>
    <t>28.¿Cuenta con ayudas mecánicas para realizar dicha labor?</t>
  </si>
  <si>
    <t>29.¿En su puesto de trabajo necesita utilizar elementos de protección personal? Cuales</t>
  </si>
  <si>
    <t>30.¿En el sitio de trabajo manipula o está en contacto con productos químicos?</t>
  </si>
  <si>
    <t>31.¿Manipula productos o desechos de origen animal o vegetal?</t>
  </si>
  <si>
    <t>32.¿Las máquinas y herramientas que utiliza en el desempeño de su labor producen vibración?</t>
  </si>
  <si>
    <t>33.¿Su labor genera riesgos mecánicos (proyección de partículas, atrapamiento, manejo de elementos contaminantes, punzantes, calientes abrasivas?</t>
  </si>
  <si>
    <t>34.Si está a cargo de alguna máquina o herramienta, ¿tiene los mandos dispuestos  de tal manera que no necesite  realizar movimientos forzados para accionarlo?</t>
  </si>
  <si>
    <t>3. sexo</t>
  </si>
  <si>
    <t xml:space="preserve">NOMBRES </t>
  </si>
  <si>
    <t xml:space="preserve">APELLIDOS </t>
  </si>
  <si>
    <t xml:space="preserve">CEDULA </t>
  </si>
  <si>
    <t xml:space="preserve">CARGO </t>
  </si>
  <si>
    <t xml:space="preserve">CAMBIAR TODOS LOS VALORES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</si>
</sst>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Arial   "/>
    </font>
    <font>
      <sz val="10"/>
      <color theme="1"/>
      <name val="Arial   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2" fillId="0" borderId="0" xfId="0" applyFont="1" applyBorder="1"/>
    <xf numFmtId="9" fontId="0" fillId="0" borderId="0" xfId="1" applyFont="1" applyBorder="1"/>
    <xf numFmtId="9" fontId="0" fillId="0" borderId="0" xfId="1" applyFont="1" applyBorder="1" applyAlignment="1">
      <alignment horizontal="center"/>
    </xf>
    <xf numFmtId="0" fontId="0" fillId="3" borderId="0" xfId="0" applyFill="1"/>
    <xf numFmtId="0" fontId="3" fillId="3" borderId="0" xfId="0" applyFont="1" applyFill="1" applyBorder="1" applyAlignment="1">
      <alignment horizontal="centerContinuous"/>
    </xf>
    <xf numFmtId="0" fontId="0" fillId="3" borderId="0" xfId="0" applyFill="1" applyBorder="1" applyAlignment="1"/>
    <xf numFmtId="0" fontId="0" fillId="0" borderId="1" xfId="1" applyNumberFormat="1" applyFont="1" applyBorder="1"/>
    <xf numFmtId="0" fontId="0" fillId="0" borderId="1" xfId="0" applyFill="1" applyBorder="1"/>
    <xf numFmtId="0" fontId="2" fillId="0" borderId="1" xfId="0" applyFont="1" applyFill="1" applyBorder="1"/>
    <xf numFmtId="0" fontId="2" fillId="0" borderId="13" xfId="0" applyFont="1" applyBorder="1"/>
    <xf numFmtId="9" fontId="0" fillId="0" borderId="17" xfId="1" applyFont="1" applyBorder="1" applyAlignment="1"/>
    <xf numFmtId="9" fontId="0" fillId="0" borderId="1" xfId="1" applyFont="1" applyBorder="1" applyAlignment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3" xfId="0" applyFont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2" fillId="0" borderId="0" xfId="0" applyFont="1" applyFill="1" applyBorder="1"/>
    <xf numFmtId="0" fontId="0" fillId="0" borderId="0" xfId="0" applyFill="1" applyBorder="1" applyAlignment="1"/>
    <xf numFmtId="0" fontId="4" fillId="3" borderId="0" xfId="0" applyFont="1" applyFill="1" applyBorder="1" applyAlignment="1"/>
    <xf numFmtId="0" fontId="4" fillId="3" borderId="0" xfId="0" applyFont="1" applyFill="1"/>
    <xf numFmtId="9" fontId="0" fillId="0" borderId="0" xfId="1" applyFont="1"/>
    <xf numFmtId="9" fontId="0" fillId="0" borderId="1" xfId="1" applyFont="1" applyFill="1" applyBorder="1" applyAlignment="1"/>
    <xf numFmtId="0" fontId="2" fillId="3" borderId="0" xfId="0" applyFont="1" applyFill="1"/>
    <xf numFmtId="0" fontId="6" fillId="0" borderId="6" xfId="0" applyFont="1" applyBorder="1" applyAlignment="1">
      <alignment horizontal="justify" vertical="center" wrapText="1"/>
    </xf>
    <xf numFmtId="0" fontId="6" fillId="0" borderId="19" xfId="0" applyFont="1" applyBorder="1" applyAlignment="1">
      <alignment horizontal="justify" vertical="center" wrapText="1"/>
    </xf>
    <xf numFmtId="0" fontId="6" fillId="0" borderId="21" xfId="0" applyFont="1" applyBorder="1" applyAlignment="1">
      <alignment horizontal="justify" vertical="center" wrapText="1"/>
    </xf>
    <xf numFmtId="0" fontId="5" fillId="0" borderId="2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justify" vertical="center" wrapText="1"/>
    </xf>
    <xf numFmtId="0" fontId="7" fillId="0" borderId="19" xfId="0" applyFont="1" applyBorder="1" applyAlignment="1">
      <alignment horizontal="justify" vertical="center" wrapText="1"/>
    </xf>
    <xf numFmtId="0" fontId="0" fillId="0" borderId="0" xfId="0" applyAlignment="1"/>
    <xf numFmtId="0" fontId="2" fillId="0" borderId="1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9" fontId="0" fillId="0" borderId="1" xfId="1" applyNumberFormat="1" applyFont="1" applyBorder="1"/>
    <xf numFmtId="9" fontId="0" fillId="0" borderId="1" xfId="0" applyNumberFormat="1" applyBorder="1"/>
    <xf numFmtId="9" fontId="0" fillId="0" borderId="13" xfId="1" applyFon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0" xfId="0" applyNumberFormat="1"/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wrapText="1"/>
    </xf>
    <xf numFmtId="0" fontId="2" fillId="0" borderId="0" xfId="0" applyFont="1" applyBorder="1" applyAlignment="1">
      <alignment horizontal="right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2" fillId="0" borderId="3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3" fillId="0" borderId="0" xfId="0" applyFont="1"/>
    <xf numFmtId="0" fontId="13" fillId="0" borderId="1" xfId="0" applyFont="1" applyBorder="1"/>
    <xf numFmtId="0" fontId="1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EDAD</a:t>
            </a:r>
            <a:r>
              <a:rPr lang="en-US" baseline="0"/>
              <a:t> POBLACIONAL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E2-4459-8050-F2666949FC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E2-4459-8050-F2666949FC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2E2-4459-8050-F2666949FC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2E2-4459-8050-F2666949FC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1'!$B$4:$B$7</c:f>
              <c:strCache>
                <c:ptCount val="4"/>
                <c:pt idx="0">
                  <c:v>18-25 años </c:v>
                </c:pt>
                <c:pt idx="1">
                  <c:v>26-35 años</c:v>
                </c:pt>
                <c:pt idx="2">
                  <c:v>36-45 años</c:v>
                </c:pt>
                <c:pt idx="3">
                  <c:v>46 años o más. </c:v>
                </c:pt>
              </c:strCache>
            </c:strRef>
          </c:cat>
          <c:val>
            <c:numRef>
              <c:f>'TABULACION 1'!$D$4:$D$7</c:f>
              <c:numCache>
                <c:formatCode>0%</c:formatCode>
                <c:ptCount val="4"/>
                <c:pt idx="0">
                  <c:v>0.23076923076923078</c:v>
                </c:pt>
                <c:pt idx="1">
                  <c:v>0.38461538461538464</c:v>
                </c:pt>
                <c:pt idx="2">
                  <c:v>0.23076923076923078</c:v>
                </c:pt>
                <c:pt idx="3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5-4EF3-9240-5547378EB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  <a:r>
              <a:rPr lang="en-US" baseline="0"/>
              <a:t> CIVIL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F3-4748-A66E-E4E85176A1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F3-4748-A66E-E4E85176A1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F3-4748-A66E-E4E85176A1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F3-4748-A66E-E4E85176A1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1'!$B$20:$B$23</c:f>
              <c:strCache>
                <c:ptCount val="4"/>
                <c:pt idx="0">
                  <c:v>soltero (a) </c:v>
                </c:pt>
                <c:pt idx="1">
                  <c:v>Union Libre </c:v>
                </c:pt>
                <c:pt idx="2">
                  <c:v>Casado (a) </c:v>
                </c:pt>
                <c:pt idx="3">
                  <c:v>Divorciado (a) </c:v>
                </c:pt>
              </c:strCache>
            </c:strRef>
          </c:cat>
          <c:val>
            <c:numRef>
              <c:f>'TABULACION 1'!$D$20:$D$23</c:f>
              <c:numCache>
                <c:formatCode>0%</c:formatCode>
                <c:ptCount val="4"/>
                <c:pt idx="0">
                  <c:v>0.46153846153846156</c:v>
                </c:pt>
                <c:pt idx="1">
                  <c:v>0.46153846153846156</c:v>
                </c:pt>
                <c:pt idx="2">
                  <c:v>7.6923076923076927E-2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2-4841-9405-768229F09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A8-493F-96B1-77C90030E1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0A8-493F-96B1-77C90030E1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1'!$I$4:$I$5</c:f>
              <c:strCache>
                <c:ptCount val="2"/>
                <c:pt idx="0">
                  <c:v>Mujer</c:v>
                </c:pt>
                <c:pt idx="1">
                  <c:v>Hombre</c:v>
                </c:pt>
              </c:strCache>
            </c:strRef>
          </c:cat>
          <c:val>
            <c:numRef>
              <c:f>'TABULACION 1'!$K$4:$K$5</c:f>
              <c:numCache>
                <c:formatCode>0%</c:formatCode>
                <c:ptCount val="2"/>
                <c:pt idx="0">
                  <c:v>0.23076923076923078</c:v>
                </c:pt>
                <c:pt idx="1">
                  <c:v>0.76923076923076927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7-4B71-8B4A-614E56CB9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PERSONAS</a:t>
            </a:r>
            <a:r>
              <a:rPr lang="en-US" baseline="0"/>
              <a:t> A CARGO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'TABULACION 1'!$I$20:$I$23</c:f>
              <c:strCache>
                <c:ptCount val="4"/>
                <c:pt idx="0">
                  <c:v>Ninguna</c:v>
                </c:pt>
                <c:pt idx="1">
                  <c:v>1-3 personas</c:v>
                </c:pt>
                <c:pt idx="2">
                  <c:v>4-6 personas</c:v>
                </c:pt>
                <c:pt idx="3">
                  <c:v>Mas de 6 personas</c:v>
                </c:pt>
              </c:strCache>
            </c:strRef>
          </c:cat>
          <c:val>
            <c:numRef>
              <c:f>'TABULACION 1'!$L$20:$L$23</c:f>
              <c:numCache>
                <c:formatCode>0%</c:formatCode>
                <c:ptCount val="4"/>
                <c:pt idx="0">
                  <c:v>0.15384615384615385</c:v>
                </c:pt>
                <c:pt idx="1">
                  <c:v>0.69230769230769229</c:v>
                </c:pt>
                <c:pt idx="2">
                  <c:v>0</c:v>
                </c:pt>
                <c:pt idx="3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7-4F0E-86CC-C6D7256162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73961656"/>
        <c:axId val="2739620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>
                    <a:gsLst>
                      <a:gs pos="0">
                        <a:schemeClr val="accent1"/>
                      </a:gs>
                      <a:gs pos="100000">
                        <a:schemeClr val="accent1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419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'TABULACION 1'!$I$20:$I$23</c15:sqref>
                        </c15:formulaRef>
                      </c:ext>
                    </c:extLst>
                    <c:strCache>
                      <c:ptCount val="4"/>
                      <c:pt idx="0">
                        <c:v>Ninguna</c:v>
                      </c:pt>
                      <c:pt idx="1">
                        <c:v>1-3 personas</c:v>
                      </c:pt>
                      <c:pt idx="2">
                        <c:v>4-6 personas</c:v>
                      </c:pt>
                      <c:pt idx="3">
                        <c:v>Mas de 6 personas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'TABULACION 1'!$J$20:$J$23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EB7-4F0E-86CC-C6D7256162D5}"/>
                  </c:ext>
                </c:extLst>
              </c15:ser>
            </c15:filteredBarSeries>
          </c:ext>
        </c:extLst>
      </c:barChart>
      <c:catAx>
        <c:axId val="27396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73962048"/>
        <c:crosses val="autoZero"/>
        <c:auto val="1"/>
        <c:lblAlgn val="ctr"/>
        <c:lblOffset val="100"/>
        <c:noMultiLvlLbl val="0"/>
      </c:catAx>
      <c:valAx>
        <c:axId val="2739620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7396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ESCOLARIDAD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586-4009-83D4-60AB6BCF5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86-4009-83D4-60AB6BCF5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586-4009-83D4-60AB6BCF5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586-4009-83D4-60AB6BCF5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586-4009-83D4-60AB6BCF53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1'!$Q$4:$Q$8</c:f>
              <c:strCache>
                <c:ptCount val="5"/>
                <c:pt idx="0">
                  <c:v>Primaria </c:v>
                </c:pt>
                <c:pt idx="1">
                  <c:v>Secundaria</c:v>
                </c:pt>
                <c:pt idx="2">
                  <c:v>Tecnico/tecnologo</c:v>
                </c:pt>
                <c:pt idx="3">
                  <c:v>Universidad </c:v>
                </c:pt>
                <c:pt idx="4">
                  <c:v>Ninguna.</c:v>
                </c:pt>
              </c:strCache>
            </c:strRef>
          </c:cat>
          <c:val>
            <c:numRef>
              <c:f>'TABULACION 1'!$S$4:$S$8</c:f>
              <c:numCache>
                <c:formatCode>0%</c:formatCode>
                <c:ptCount val="5"/>
                <c:pt idx="0">
                  <c:v>0</c:v>
                </c:pt>
                <c:pt idx="1">
                  <c:v>0.30769230769230771</c:v>
                </c:pt>
                <c:pt idx="2">
                  <c:v>0.38461538461538464</c:v>
                </c:pt>
                <c:pt idx="3">
                  <c:v>0.23076923076923078</c:v>
                </c:pt>
                <c:pt idx="4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B-4F2B-A1A8-25C28593AA3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Tenencia de vivienda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D6-448A-990E-A31076FCB8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7D6-448A-990E-A31076FCB8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7D6-448A-990E-A31076FCB8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D6-448A-990E-A31076FCB8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7D6-448A-990E-A31076FCB88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7D6-448A-990E-A31076FCB88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7D6-448A-990E-A31076FCB88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67D6-448A-990E-A31076FCB884}"/>
                </c:ext>
              </c:extLst>
            </c:dLbl>
            <c:dLbl>
              <c:idx val="3"/>
              <c:layout>
                <c:manualLayout>
                  <c:x val="-0.30070477682067348"/>
                  <c:y val="0.564705882352941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D6-448A-990E-A31076FCB88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7D6-448A-990E-A31076FCB88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1'!$Q$20:$Q$24</c:f>
              <c:strCache>
                <c:ptCount val="4"/>
                <c:pt idx="0">
                  <c:v>Propia</c:v>
                </c:pt>
                <c:pt idx="1">
                  <c:v>Arrendada</c:v>
                </c:pt>
                <c:pt idx="2">
                  <c:v>Familia</c:v>
                </c:pt>
                <c:pt idx="3">
                  <c:v>Compartida con otras familias</c:v>
                </c:pt>
              </c:strCache>
            </c:strRef>
          </c:cat>
          <c:val>
            <c:numRef>
              <c:f>'TABULACION 1'!$R$20:$R$24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6-448A-990E-A31076FCB88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Uso</a:t>
            </a:r>
            <a:r>
              <a:rPr lang="en-US" baseline="0"/>
              <a:t> del tiempo libre</a:t>
            </a:r>
            <a:endParaRPr lang="en-US"/>
          </a:p>
        </c:rich>
      </c:tx>
      <c:layout>
        <c:manualLayout>
          <c:xMode val="edge"/>
          <c:yMode val="edge"/>
          <c:x val="0.28171522309711289"/>
          <c:y val="1.5717326791437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219510239548355E-3"/>
          <c:y val="0.12056564363440353"/>
          <c:w val="0.96944444444444444"/>
          <c:h val="0.5152045056867891"/>
        </c:manualLayout>
      </c:layout>
      <c:pie3DChart>
        <c:varyColors val="1"/>
        <c:ser>
          <c:idx val="0"/>
          <c:order val="0"/>
          <c:explosion val="4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75F5-42DF-8B17-F732E0F244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75F5-42DF-8B17-F732E0F244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75F5-42DF-8B17-F732E0F244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75F5-42DF-8B17-F732E0F244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75F5-42DF-8B17-F732E0F244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75F5-42DF-8B17-F732E0F244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75F5-42DF-8B17-F732E0F244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75F5-42DF-8B17-F732E0F244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75F5-42DF-8B17-F732E0F244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75F5-42DF-8B17-F732E0F244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1'!$Y$4:$Y$13</c:f>
              <c:strCache>
                <c:ptCount val="9"/>
                <c:pt idx="0">
                  <c:v>Otro trabajo </c:v>
                </c:pt>
                <c:pt idx="1">
                  <c:v>Labores domesticas</c:v>
                </c:pt>
                <c:pt idx="2">
                  <c:v>Recreacion y deporte</c:v>
                </c:pt>
                <c:pt idx="3">
                  <c:v>Estudio</c:v>
                </c:pt>
                <c:pt idx="4">
                  <c:v>Ninguna.</c:v>
                </c:pt>
                <c:pt idx="5">
                  <c:v>Labores domesticas- recreacion y deporte</c:v>
                </c:pt>
                <c:pt idx="7">
                  <c:v>Otro trabajo- labores domesticas</c:v>
                </c:pt>
                <c:pt idx="8">
                  <c:v>Labores domesticas- recreacion y deporte- otro trabajo- estudio</c:v>
                </c:pt>
              </c:strCache>
            </c:strRef>
          </c:cat>
          <c:val>
            <c:numRef>
              <c:f>'TABULACION 1'!$Z$4:$Z$13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2-4CCC-8420-BDC8ACF5039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52598109691229E-2"/>
          <c:y val="0.53704421161383054"/>
          <c:w val="0.80532720909886268"/>
          <c:h val="0.44710924702251414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</a:t>
            </a:r>
            <a:r>
              <a:rPr lang="en-US" baseline="0"/>
              <a:t> DE INGRESOS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36447958823098003"/>
          <c:y val="0.16919731019024081"/>
          <c:w val="0.31507103949008919"/>
          <c:h val="0.5432100695442267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7D-452A-A6E4-FEC30F28F2F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7D-452A-A6E4-FEC30F28F2F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7D-452A-A6E4-FEC30F28F2F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7D-452A-A6E4-FEC30F28F2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1'!$Y$43:$Y$46</c:f>
              <c:strCache>
                <c:ptCount val="4"/>
                <c:pt idx="0">
                  <c:v>Minimo legal (S.M.L)</c:v>
                </c:pt>
                <c:pt idx="1">
                  <c:v>Entre 1 a 2 S.M.L</c:v>
                </c:pt>
                <c:pt idx="2">
                  <c:v>Entre 3 a 4 S.M.L </c:v>
                </c:pt>
                <c:pt idx="3">
                  <c:v>Mas de 5 S.M.L </c:v>
                </c:pt>
              </c:strCache>
            </c:strRef>
          </c:cat>
          <c:val>
            <c:numRef>
              <c:f>'TABULACION 1'!$Z$43:$Z$46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C-4D71-88E0-70E4C2CA260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ANTIGUEDAD EN</a:t>
            </a:r>
            <a:r>
              <a:rPr lang="en-US" baseline="0"/>
              <a:t> LA EMPRESA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6B2-43F2-8AF4-8CB88709BC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B2-43F2-8AF4-8CB88709BC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6B2-43F2-8AF4-8CB88709BC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6B2-43F2-8AF4-8CB88709BC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6B2-43F2-8AF4-8CB88709BC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1'!$AJ$4:$AJ$8</c:f>
              <c:strCache>
                <c:ptCount val="5"/>
                <c:pt idx="0">
                  <c:v>Menos de 1 mes </c:v>
                </c:pt>
                <c:pt idx="1">
                  <c:v>De 1 a 6 meses </c:v>
                </c:pt>
                <c:pt idx="2">
                  <c:v>de 7 a 11 meses </c:v>
                </c:pt>
                <c:pt idx="3">
                  <c:v>De 1 a 2 años </c:v>
                </c:pt>
                <c:pt idx="4">
                  <c:v>Mas de 2 años. </c:v>
                </c:pt>
              </c:strCache>
            </c:strRef>
          </c:cat>
          <c:val>
            <c:numRef>
              <c:f>'TABULACION 1'!$AK$4:$AK$8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3-454D-A1CF-6AFDF0B6B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ANTIGUEDAD EN EL CARGO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332432158426555E-2"/>
          <c:y val="0.22984921320692717"/>
          <c:w val="0.91689932749822578"/>
          <c:h val="0.5083990312648323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D6-4963-ACDC-838F1209C5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D6-4963-ACDC-838F1209C5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DD6-4963-ACDC-838F1209C5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DD6-4963-ACDC-838F1209C5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DD6-4963-ACDC-838F1209C5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1'!$AJ$21:$AJ$25</c:f>
              <c:strCache>
                <c:ptCount val="5"/>
                <c:pt idx="0">
                  <c:v>Menos de 1 mes </c:v>
                </c:pt>
                <c:pt idx="1">
                  <c:v>De 1 a 6 meses </c:v>
                </c:pt>
                <c:pt idx="2">
                  <c:v>De 7 a 11 meses</c:v>
                </c:pt>
                <c:pt idx="3">
                  <c:v>De 1 a 2 años </c:v>
                </c:pt>
                <c:pt idx="4">
                  <c:v>Mas de 2 años </c:v>
                </c:pt>
              </c:strCache>
            </c:strRef>
          </c:cat>
          <c:val>
            <c:numRef>
              <c:f>'TABULACION 1'!$AL$21:$AL$25</c:f>
              <c:numCache>
                <c:formatCode>0%</c:formatCode>
                <c:ptCount val="5"/>
                <c:pt idx="0">
                  <c:v>0.15384615384615385</c:v>
                </c:pt>
                <c:pt idx="1">
                  <c:v>0.23076923076923078</c:v>
                </c:pt>
                <c:pt idx="2">
                  <c:v>0</c:v>
                </c:pt>
                <c:pt idx="3">
                  <c:v>7.6923076923076927E-2</c:v>
                </c:pt>
                <c:pt idx="4">
                  <c:v>0.53846153846153844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4-4057-A9F7-CF4DE49A8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ACTIVIDADES DE SALUD REALIZADAS POR LA EMPRESA</a:t>
            </a:r>
          </a:p>
        </c:rich>
      </c:tx>
      <c:layout>
        <c:manualLayout>
          <c:xMode val="edge"/>
          <c:yMode val="edge"/>
          <c:x val="0.12257623936113737"/>
          <c:y val="3.1695721077654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1355571327182399E-2"/>
          <c:y val="0.26738510301109353"/>
          <c:w val="0.96877217885024836"/>
          <c:h val="0.4402196238940813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93E-4B9E-A22E-5D800B91BF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93E-4B9E-A22E-5D800B91BF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93E-4B9E-A22E-5D800B91BF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93E-4B9E-A22E-5D800B91BF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93E-4B9E-A22E-5D800B91BF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1'!$AR$5:$AR$9</c:f>
              <c:strCache>
                <c:ptCount val="5"/>
                <c:pt idx="0">
                  <c:v>Vacunacion</c:v>
                </c:pt>
                <c:pt idx="1">
                  <c:v>Salud Oral</c:v>
                </c:pt>
                <c:pt idx="2">
                  <c:v>Examenes de laboratorio y otros</c:v>
                </c:pt>
                <c:pt idx="3">
                  <c:v>Examenes medicos anuales</c:v>
                </c:pt>
                <c:pt idx="4">
                  <c:v>Ninguna </c:v>
                </c:pt>
              </c:strCache>
            </c:strRef>
          </c:cat>
          <c:val>
            <c:numRef>
              <c:f>'TABULACION 1'!$AS$5:$AS$9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5-4824-8670-9E1505574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024370889054057E-2"/>
          <c:y val="0.74563959219836029"/>
          <c:w val="0.94710337928837673"/>
          <c:h val="0.241682119370577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 HAN DIAGNOSTICADO ALGUNA ENFERMEDAD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698399326032011E-2"/>
          <c:y val="0.27607643312101909"/>
          <c:w val="0.92586352148272955"/>
          <c:h val="0.5513115000752294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22-49B4-A4E5-8F99F2F12E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22-49B4-A4E5-8F99F2F12E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1'!$AR$21:$AR$22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'TABULACION 1'!$AT$21:$AT$22</c:f>
              <c:numCache>
                <c:formatCode>0%</c:formatCode>
                <c:ptCount val="2"/>
                <c:pt idx="0">
                  <c:v>7.6923076923076927E-2</c:v>
                </c:pt>
                <c:pt idx="1">
                  <c:v>0.92307692307692313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9-4791-BC5B-D6D2A858C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CONSUMEN BEBIDAS ALCOHOLICAS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58-4DAC-B404-2CB90B61BA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58-4DAC-B404-2CB90B61BA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1'!$AY$4:$AY$5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'TABULACION 1'!$BA$4:$BA$5</c:f>
              <c:numCache>
                <c:formatCode>0%</c:formatCode>
                <c:ptCount val="2"/>
                <c:pt idx="0">
                  <c:v>0.61538461538461542</c:v>
                </c:pt>
                <c:pt idx="1">
                  <c:v>0.30769230769230771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5-414D-A357-501AC5271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FRECUENCUA DE</a:t>
            </a:r>
            <a:r>
              <a:rPr lang="en-US" baseline="0"/>
              <a:t> CONSUMO DE ALCOHOL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'TABULACION 1'!$AY$7:$AY$10</c:f>
              <c:strCache>
                <c:ptCount val="4"/>
                <c:pt idx="0">
                  <c:v>Semanal</c:v>
                </c:pt>
                <c:pt idx="1">
                  <c:v>Quincenal</c:v>
                </c:pt>
                <c:pt idx="2">
                  <c:v>Mensual </c:v>
                </c:pt>
                <c:pt idx="3">
                  <c:v>Ocasional </c:v>
                </c:pt>
              </c:strCache>
            </c:strRef>
          </c:cat>
          <c:val>
            <c:numRef>
              <c:f>'TABULACION 1'!$AZ$7:$AZ$10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1-4EEF-9121-DD313684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792648"/>
        <c:axId val="274791472"/>
      </c:barChart>
      <c:catAx>
        <c:axId val="27479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74791472"/>
        <c:crosses val="autoZero"/>
        <c:auto val="1"/>
        <c:lblAlgn val="ctr"/>
        <c:lblOffset val="100"/>
        <c:noMultiLvlLbl val="0"/>
      </c:catAx>
      <c:valAx>
        <c:axId val="27479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74792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¿PRACTICA ALGUN DEPORTE?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82-4A61-B2D5-3B85124CC1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82-4A61-B2D5-3B85124CC1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1'!$AY$21:$AY$22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'TABULACION 1'!$AZ$21:$AZ$22</c:f>
              <c:numCache>
                <c:formatCode>General</c:formatCode>
                <c:ptCount val="2"/>
                <c:pt idx="0">
                  <c:v>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6-4B49-970D-3D1EA5D01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</a:t>
            </a:r>
            <a:r>
              <a:rPr lang="en-US" baseline="0"/>
              <a:t> DE PRACTICAR DEPORTE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6C-4592-A001-15D5BB6BE1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6C-4592-A001-15D5BB6BE1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6C-4592-A001-15D5BB6BE1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6C-4592-A001-15D5BB6BE1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1'!$AY$24:$AY$27</c:f>
              <c:strCache>
                <c:ptCount val="3"/>
                <c:pt idx="0">
                  <c:v>Semanal</c:v>
                </c:pt>
                <c:pt idx="1">
                  <c:v>Ocasional </c:v>
                </c:pt>
                <c:pt idx="2">
                  <c:v>3 veces a la semana </c:v>
                </c:pt>
              </c:strCache>
            </c:strRef>
          </c:cat>
          <c:val>
            <c:numRef>
              <c:f>'TABULACION 1'!$AZ$24:$AZ$27</c:f>
              <c:numCache>
                <c:formatCode>General</c:formatCode>
                <c:ptCount val="4"/>
                <c:pt idx="0">
                  <c:v>1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D-4D2F-8EC3-B27E52DB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6A1-47D9-86C7-57A55B2AA8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6A1-47D9-86C7-57A55B2AA8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1'!$BH$4:$BH$5</c:f>
              <c:strCache>
                <c:ptCount val="2"/>
                <c:pt idx="0">
                  <c:v>Si, ocasional</c:v>
                </c:pt>
                <c:pt idx="1">
                  <c:v>No</c:v>
                </c:pt>
              </c:strCache>
            </c:strRef>
          </c:cat>
          <c:val>
            <c:numRef>
              <c:f>'TABULACION 1'!$BI$4:$BI$5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7-4C5A-A12F-7B78AD90D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MOLESTIAS CON</a:t>
            </a:r>
            <a:r>
              <a:rPr lang="en-US" baseline="0"/>
              <a:t> FRECUENCIA DURANTE LOS ULTIMOS 6 MESES.</a:t>
            </a:r>
            <a:endParaRPr lang="en-US"/>
          </a:p>
        </c:rich>
      </c:tx>
      <c:layout>
        <c:manualLayout>
          <c:xMode val="edge"/>
          <c:yMode val="edge"/>
          <c:x val="0.19950747267415411"/>
          <c:y val="2.111796863100357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7A09-434F-8E28-62386678D0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A09-434F-8E28-62386678D0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7A09-434F-8E28-62386678D0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7A09-434F-8E28-62386678D0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A09-434F-8E28-62386678D0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A09-434F-8E28-62386678D0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7A09-434F-8E28-62386678D0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7A09-434F-8E28-62386678D0C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A09-434F-8E28-62386678D0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7A09-434F-8E28-62386678D0C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A09-434F-8E28-62386678D0C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7A09-434F-8E28-62386678D0C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A09-434F-8E28-62386678D0C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7A09-434F-8E28-62386678D0C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7A09-434F-8E28-62386678D0C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7A09-434F-8E28-62386678D0C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A09-434F-8E28-62386678D0C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7A09-434F-8E28-62386678D0C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7A09-434F-8E28-62386678D0C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A09-434F-8E28-62386678D0C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7A09-434F-8E28-62386678D0C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7A09-434F-8E28-62386678D0C1}"/>
              </c:ext>
            </c:extLst>
          </c:dPt>
          <c:dLbls>
            <c:dLbl>
              <c:idx val="0"/>
              <c:layout>
                <c:manualLayout>
                  <c:x val="-2.8052278402738609E-3"/>
                  <c:y val="-3.16769529465053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09-434F-8E28-62386678D0C1}"/>
                </c:ext>
              </c:extLst>
            </c:dLbl>
            <c:dLbl>
              <c:idx val="1"/>
              <c:layout>
                <c:manualLayout>
                  <c:x val="-1.5428753121506236E-2"/>
                  <c:y val="-5.91303121668100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09-434F-8E28-62386678D0C1}"/>
                </c:ext>
              </c:extLst>
            </c:dLbl>
            <c:dLbl>
              <c:idx val="2"/>
              <c:layout>
                <c:manualLayout>
                  <c:x val="7.0130696006845492E-3"/>
                  <c:y val="6.335390589300994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09-434F-8E28-62386678D0C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7A09-434F-8E28-62386678D0C1}"/>
                </c:ext>
              </c:extLst>
            </c:dLbl>
            <c:dLbl>
              <c:idx val="4"/>
              <c:layout>
                <c:manualLayout>
                  <c:x val="2.1039208802053854E-2"/>
                  <c:y val="-4.223593726200714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09-434F-8E28-62386678D0C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A09-434F-8E28-62386678D0C1}"/>
                </c:ext>
              </c:extLst>
            </c:dLbl>
            <c:dLbl>
              <c:idx val="6"/>
              <c:layout>
                <c:manualLayout>
                  <c:x val="1.1220911361095341E-2"/>
                  <c:y val="2.74533592203044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09-434F-8E28-62386678D0C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7A09-434F-8E28-62386678D0C1}"/>
                </c:ext>
              </c:extLst>
            </c:dLbl>
            <c:dLbl>
              <c:idx val="8"/>
              <c:layout>
                <c:manualLayout>
                  <c:x val="1.4026139201369304E-3"/>
                  <c:y val="2.53415623572042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09-434F-8E28-62386678D0C1}"/>
                </c:ext>
              </c:extLst>
            </c:dLbl>
            <c:dLbl>
              <c:idx val="9"/>
              <c:layout>
                <c:manualLayout>
                  <c:x val="-2.1039208802053958E-2"/>
                  <c:y val="2.32297654941037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09-434F-8E28-62386678D0C1}"/>
                </c:ext>
              </c:extLst>
            </c:dLbl>
            <c:dLbl>
              <c:idx val="10"/>
              <c:layout>
                <c:manualLayout>
                  <c:x val="-9.8182974409585337E-3"/>
                  <c:y val="1.58384764732525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829716043572904E-2"/>
                      <c:h val="8.95613049640861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A09-434F-8E28-62386678D0C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7A09-434F-8E28-62386678D0C1}"/>
                </c:ext>
              </c:extLst>
            </c:dLbl>
            <c:dLbl>
              <c:idx val="12"/>
              <c:layout>
                <c:manualLayout>
                  <c:x val="0"/>
                  <c:y val="-2.53415623572043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09-434F-8E28-62386678D0C1}"/>
                </c:ext>
              </c:extLst>
            </c:dLbl>
            <c:dLbl>
              <c:idx val="13"/>
              <c:layout>
                <c:manualLayout>
                  <c:x val="-1.2623525281232376E-2"/>
                  <c:y val="-1.05589843155017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09-434F-8E28-62386678D0C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7A09-434F-8E28-62386678D0C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7A09-434F-8E28-62386678D0C1}"/>
                </c:ext>
              </c:extLst>
            </c:dLbl>
            <c:dLbl>
              <c:idx val="16"/>
              <c:layout>
                <c:manualLayout>
                  <c:x val="5.1896715045066426E-2"/>
                  <c:y val="8.447187452401428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09-434F-8E28-62386678D0C1}"/>
                </c:ext>
              </c:extLst>
            </c:dLbl>
            <c:dLbl>
              <c:idx val="17"/>
              <c:layout>
                <c:manualLayout>
                  <c:x val="1.5428753121506236E-2"/>
                  <c:y val="-2.11179686310035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09-434F-8E28-62386678D0C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7A09-434F-8E28-62386678D0C1}"/>
                </c:ext>
              </c:extLst>
            </c:dLbl>
            <c:dLbl>
              <c:idx val="19"/>
              <c:layout>
                <c:manualLayout>
                  <c:x val="8.2754221288078841E-2"/>
                  <c:y val="-4.22359372620072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09-434F-8E28-62386678D0C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7A09-434F-8E28-62386678D0C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7A09-434F-8E28-62386678D0C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'TABULACION 2'!$A$3:$A$24</c:f>
              <c:strCache>
                <c:ptCount val="22"/>
                <c:pt idx="0">
                  <c:v>Dolor de cabeza</c:v>
                </c:pt>
                <c:pt idx="1">
                  <c:v>Dolor de cuello, espalda y cintura</c:v>
                </c:pt>
                <c:pt idx="2">
                  <c:v>Dolores musculares</c:v>
                </c:pt>
                <c:pt idx="3">
                  <c:v>Dificultad para algún movimiento</c:v>
                </c:pt>
                <c:pt idx="4">
                  <c:v>Tos frecuente</c:v>
                </c:pt>
                <c:pt idx="5">
                  <c:v>Dificultad respiratoria</c:v>
                </c:pt>
                <c:pt idx="6">
                  <c:v>Gastritis, ulcera</c:v>
                </c:pt>
                <c:pt idx="7">
                  <c:v>Otras alteraciones del funcionamiento digestivo</c:v>
                </c:pt>
                <c:pt idx="8">
                  <c:v>Alteraciones del sueño (insomnio, somnolencia)</c:v>
                </c:pt>
                <c:pt idx="9">
                  <c:v>Dificultad para concentrarse</c:v>
                </c:pt>
                <c:pt idx="10">
                  <c:v>Estrés</c:v>
                </c:pt>
                <c:pt idx="11">
                  <c:v>Nerviosismo</c:v>
                </c:pt>
                <c:pt idx="12">
                  <c:v>Cansancio mental</c:v>
                </c:pt>
                <c:pt idx="13">
                  <c:v>Palpitaciones cardíacas</c:v>
                </c:pt>
                <c:pt idx="14">
                  <c:v>Dolor en el pecho (angina)</c:v>
                </c:pt>
                <c:pt idx="15">
                  <c:v>Cambios visuales</c:v>
                </c:pt>
                <c:pt idx="16">
                  <c:v>Cansancio, fatiga, ardor o disconfor visual</c:v>
                </c:pt>
                <c:pt idx="17">
                  <c:v>Pitos o ruidos continuos o intermitentes en los oídos</c:v>
                </c:pt>
                <c:pt idx="18">
                  <c:v>Dificultad para oír</c:v>
                </c:pt>
                <c:pt idx="19">
                  <c:v>Sensación permanente de cansancio</c:v>
                </c:pt>
                <c:pt idx="20">
                  <c:v>Alteraciones en la piel</c:v>
                </c:pt>
                <c:pt idx="21">
                  <c:v>Otras alteraciones no anotadas</c:v>
                </c:pt>
              </c:strCache>
            </c:strRef>
          </c:cat>
          <c:val>
            <c:numRef>
              <c:f>'TABULACION 2'!$B$3:$B$24</c:f>
              <c:numCache>
                <c:formatCode>General</c:formatCode>
                <c:ptCount val="22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7</c:v>
                </c:pt>
                <c:pt idx="12">
                  <c:v>3</c:v>
                </c:pt>
                <c:pt idx="13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9-434F-8E28-62386678D0C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2'!$A$31</c:f>
              <c:strCache>
                <c:ptCount val="1"/>
                <c:pt idx="0">
                  <c:v>1. ¿Conoce los riesgos a los que está expuesto en su lugar de trabajo?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B5-4565-A18A-B2E01E970D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B5-4565-A18A-B2E01E970D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2'!$B$31:$C$31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1-4BB2-9079-57C1C1B8A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2'!$A$32</c:f>
              <c:strCache>
                <c:ptCount val="1"/>
                <c:pt idx="0">
                  <c:v>2. ¿Ha recibido capacitación sobre el manejo de los riesgos a los que está expuesto?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56-43F0-B471-78F5A4A1D2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56-43F0-B471-78F5A4A1D2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2'!$B$32:$C$32</c:f>
              <c:numCache>
                <c:formatCode>General</c:formatCode>
                <c:ptCount val="2"/>
                <c:pt idx="0">
                  <c:v>11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2-4682-B060-F77406195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3141078689683244E-2"/>
          <c:y val="0.29154888699842807"/>
          <c:w val="0.92342704795648334"/>
          <c:h val="0.45541006225477026"/>
        </c:manualLayout>
      </c:layout>
      <c:pie3DChart>
        <c:varyColors val="1"/>
        <c:ser>
          <c:idx val="0"/>
          <c:order val="0"/>
          <c:tx>
            <c:strRef>
              <c:f>'TABULACION 2'!$A$33</c:f>
              <c:strCache>
                <c:ptCount val="1"/>
                <c:pt idx="0">
                  <c:v>3.¿Considera que la iluminación de su puesto de trabajo es adecuada?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45-4E3A-958F-F632AB17EB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45-4E3A-958F-F632AB17EB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2'!$B$33:$C$33</c:f>
              <c:numCache>
                <c:formatCode>General</c:formatCode>
                <c:ptCount val="2"/>
                <c:pt idx="0">
                  <c:v>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E-431C-863A-4EA22064B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5534293065622573E-2"/>
          <c:y val="5.500623909349717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2'!$A$34</c:f>
              <c:strCache>
                <c:ptCount val="1"/>
                <c:pt idx="0">
                  <c:v>4.¿La temperatura de su sitio de trabajo le ocasiona molestias?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57-4A39-B370-273DA04F1A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57-4A39-B370-273DA04F1A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2'!$B$34:$C$34</c:f>
              <c:numCache>
                <c:formatCode>General</c:formatCode>
                <c:ptCount val="2"/>
                <c:pt idx="0">
                  <c:v>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D-4574-B7E5-75175BE3C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8656369266111566E-2"/>
          <c:y val="0.25096580566783694"/>
          <c:w val="0.93888888888888888"/>
          <c:h val="0.52115631379410909"/>
        </c:manualLayout>
      </c:layout>
      <c:pie3DChart>
        <c:varyColors val="1"/>
        <c:ser>
          <c:idx val="0"/>
          <c:order val="0"/>
          <c:tx>
            <c:strRef>
              <c:f>'TABULACION 2'!$A$35</c:f>
              <c:strCache>
                <c:ptCount val="1"/>
                <c:pt idx="0">
                  <c:v>5.¿En su sitio de trabajo hay presencia de polvo en el ambiente?</c:v>
                </c:pt>
              </c:strCache>
            </c:strRef>
          </c:tx>
          <c:explosion val="8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80-461E-883F-6241C4726E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80-461E-883F-6241C4726E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2'!$B$35:$C$35</c:f>
              <c:numCache>
                <c:formatCode>General</c:formatCode>
                <c:ptCount val="2"/>
                <c:pt idx="0">
                  <c:v>11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E-4785-9044-1CC905F77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2'!$A$36</c:f>
              <c:strCache>
                <c:ptCount val="1"/>
                <c:pt idx="0">
                  <c:v>6.¿Considera que los pisos, techos, paredes, escaleras, presentan riesgo para su salud?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E5-43B2-A719-23470A1BE5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E5-43B2-A719-23470A1BE5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2'!$B$36:$C$36</c:f>
              <c:numCache>
                <c:formatCode>General</c:formatCode>
                <c:ptCount val="2"/>
                <c:pt idx="0">
                  <c:v>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5-467C-B3FE-15C0561C4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5949924230866412E-2"/>
          <c:y val="0.49140443205859763"/>
          <c:w val="0.91575847224341156"/>
          <c:h val="0.24326007189603047"/>
        </c:manualLayout>
      </c:layout>
      <c:pie3DChart>
        <c:varyColors val="1"/>
        <c:ser>
          <c:idx val="0"/>
          <c:order val="0"/>
          <c:tx>
            <c:strRef>
              <c:f>'TABULACION 2'!$A$37</c:f>
              <c:strCache>
                <c:ptCount val="1"/>
                <c:pt idx="0">
                  <c:v>7.¿Existen cables sin entubar, empalmes defectuosos, tomas eléctricas sobrecargadas, trasformadores defectuosos?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6A2-4166-91B7-D356598DA2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6A2-4166-91B7-D356598DA2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2'!$B$37:$C$37</c:f>
              <c:numCache>
                <c:formatCode>General</c:formatCode>
                <c:ptCount val="2"/>
                <c:pt idx="0">
                  <c:v>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7-4A79-9C2A-78193046F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2'!$A$38</c:f>
              <c:strCache>
                <c:ptCount val="1"/>
                <c:pt idx="0">
                  <c:v>8.¿Los sitios destinados para el almacenamiento son suficientes, poseen espacio adecuado y los insumos y productos se encuentran bien apilados?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48-449F-B2B0-881A7F3D75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48-449F-B2B0-881A7F3D75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2'!$B$38:$C$38</c:f>
              <c:numCache>
                <c:formatCode>General</c:formatCode>
                <c:ptCount val="2"/>
                <c:pt idx="0">
                  <c:v>10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7-4E21-9507-FF12B5A34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2'!$A$39</c:f>
              <c:strCache>
                <c:ptCount val="1"/>
                <c:pt idx="0">
                  <c:v>9.¿Las tareas que desarrolla le exigen realizar movimientos repetitivos?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678-4FCE-969A-9F65CF7EE2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678-4FCE-969A-9F65CF7EE2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2'!$B$39:$C$39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8-4E99-B900-DFA51F0D1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2'!$A$40</c:f>
              <c:strCache>
                <c:ptCount val="1"/>
                <c:pt idx="0">
                  <c:v>10.¿Permanece en una misma posición (sentado o de pie) durante más del 60% de la jornada de trabajo?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79-476A-8284-5716BBB137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79-476A-8284-5716BBB137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2'!$B$40:$C$40</c:f>
              <c:numCache>
                <c:formatCode>General</c:formatCode>
                <c:ptCount val="2"/>
                <c:pt idx="0">
                  <c:v>11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519-B814-7CB211F6F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2'!$A$41</c:f>
              <c:strCache>
                <c:ptCount val="1"/>
                <c:pt idx="0">
                  <c:v>11.¿La altura de la superficie de trabajo es la adecuada a su estatura, la silla y la labor que realiza?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3BD-4F46-B501-7E317E194A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3BD-4F46-B501-7E317E194A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2'!$B$41:$C$41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A-4F3C-A5C3-EC6600976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2'!$A$43</c:f>
              <c:strCache>
                <c:ptCount val="1"/>
                <c:pt idx="0">
                  <c:v>13.¿La silla es cómoda y permite ajustarlo a su medida?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655-4127-B6E0-79E6D61F82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55-4127-B6E0-79E6D61F82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2'!$B$43:$C$43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C-40E3-8E03-E932D97C8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2'!$A$44</c:f>
              <c:strCache>
                <c:ptCount val="1"/>
                <c:pt idx="0">
                  <c:v>14.¿En general dispone de espacio suficiente  para realizar el trabajo con amplitud?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2A-402F-8704-3D85DA31E6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2A-402F-8704-3D85DA31E6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2'!$B$44:$C$44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8-42DA-B945-C3AFEFD0D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906372816291486"/>
          <c:y val="2.1977128212316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2'!$A$45</c:f>
              <c:strCache>
                <c:ptCount val="1"/>
                <c:pt idx="0">
                  <c:v>15.¿Su trabajo le exige mantenerse frente a la pantalla del computador más del 50% de la jornada?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510-48B5-9A4C-89004CCF6D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510-48B5-9A4C-89004CCF6D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2'!$B$45:$C$45</c:f>
              <c:numCache>
                <c:formatCode>General</c:formatCode>
                <c:ptCount val="2"/>
                <c:pt idx="0">
                  <c:v>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3-4972-9CA4-E1AD3F0B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2'!$A$42</c:f>
              <c:strCache>
                <c:ptCount val="1"/>
                <c:pt idx="0">
                  <c:v>12.¿Tiene espacio suficiente para variar la posición de las piernas y rodillas?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6E-4ED7-AEAE-5AE8C4B53D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6E-4ED7-AEAE-5AE8C4B53D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2'!$B$42:$C$42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A-4C2D-83CC-19D96510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2'!$A$46</c:f>
              <c:strCache>
                <c:ptCount val="1"/>
                <c:pt idx="0">
                  <c:v>16.¿Al finalizar la jornada laboral, el cansancio que se siente podría calificarse de “normal”?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E8-40F4-BBCA-BA2997A31F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E8-40F4-BBCA-BA2997A31F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2'!$B$46:$C$46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C-48E6-87F1-386D7F7F1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3844559632693224E-2"/>
          <c:y val="4.8636683548375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2'!$A$47</c:f>
              <c:strCache>
                <c:ptCount val="1"/>
                <c:pt idx="0">
                  <c:v>17.¿Considera adecuada la distribución del horario de trabajo, de los turnos, de las horas de descanso, horas extras y pausas?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10-4110-8CDD-D048DFB964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10-4110-8CDD-D048DFB964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2'!$B$47:$C$47</c:f>
              <c:numCache>
                <c:formatCode>General</c:formatCode>
                <c:ptCount val="2"/>
                <c:pt idx="0">
                  <c:v>9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A-43EA-8ED1-73C86B60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6.3381889763779536E-2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2'!$A$48</c:f>
              <c:strCache>
                <c:ptCount val="1"/>
                <c:pt idx="0">
                  <c:v>18.¿El trabajo que desempeña le permite  aplicar sus habilidades y conocimientos?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A6-429B-8340-1C3A667962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A6-429B-8340-1C3A667962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2'!$B$48:$C$48</c:f>
              <c:numCache>
                <c:formatCode>General</c:formatCode>
                <c:ptCount val="2"/>
                <c:pt idx="0">
                  <c:v>13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1-4020-8A77-39C932E0A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2'!$A$49</c:f>
              <c:strCache>
                <c:ptCount val="1"/>
                <c:pt idx="0">
                  <c:v>19.¿Su jefe le pide opinión sobre asuntos relacionados con su trabajo?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093-420E-B9CF-62ED4C11D8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093-420E-B9CF-62ED4C11D8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2'!$B$49:$C$49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3-4AAB-907B-B9FE7F169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2'!$A$50</c:f>
              <c:strCache>
                <c:ptCount val="1"/>
                <c:pt idx="0">
                  <c:v>20.¿La empresa cuenta con agua potable?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D01-40D6-8706-6FB35A98A1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C56-4DC6-AF44-EC061CB1DA93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01-40D6-8706-6FB35A98A1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2'!$B$50:$C$50</c:f>
              <c:numCache>
                <c:formatCode>General</c:formatCode>
                <c:ptCount val="2"/>
                <c:pt idx="0">
                  <c:v>13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1-40D6-8706-6FB35A98A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2'!$A$51</c:f>
              <c:strCache>
                <c:ptCount val="1"/>
                <c:pt idx="0">
                  <c:v>21.¿Existe buen manejo de basuras y desechos?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C1-4C5A-B779-768B652AC5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C1-4C5A-B779-768B652AC5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2'!$B$51:$C$51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E-434D-978E-20E9A06E5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2'!$A$52</c:f>
              <c:strCache>
                <c:ptCount val="1"/>
                <c:pt idx="0">
                  <c:v>22.¿El ruido ambiental le permite mantener una conversación con los compañeros sin elevar  el tono de voz?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F3-4D4C-A4F5-35E2A6EA3F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F3-4D4C-A4F5-35E2A6EA3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'TABULACION 2'!$G$54</c:f>
              <c:numCache>
                <c:formatCode>General</c:formatCode>
                <c:ptCount val="1"/>
              </c:numCache>
            </c:numRef>
          </c:cat>
          <c:val>
            <c:numRef>
              <c:f>'TABULACION 2'!$B$52:$C$52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8-4103-9C52-9645F9C03033}"/>
            </c:ext>
          </c:extLst>
        </c:ser>
        <c:ser>
          <c:idx val="1"/>
          <c:order val="1"/>
          <c:tx>
            <c:strRef>
              <c:f>'TABULACION 2'!$A$29</c:f>
              <c:strCache>
                <c:ptCount val="1"/>
                <c:pt idx="0">
                  <c:v>CONDICION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F3-4D4C-A4F5-35E2A6EA3F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F3-4D4C-A4F5-35E2A6EA3F79}"/>
              </c:ext>
            </c:extLst>
          </c:dPt>
          <c:cat>
            <c:numRef>
              <c:f>'TABULACION 2'!$G$54</c:f>
              <c:numCache>
                <c:formatCode>General</c:formatCode>
                <c:ptCount val="1"/>
              </c:numCache>
            </c:numRef>
          </c:cat>
          <c:val>
            <c:numRef>
              <c:f>'TABULACION 2'!$B$29:$C$29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8-4103-9C52-9645F9C03033}"/>
            </c:ext>
          </c:extLst>
        </c:ser>
        <c:ser>
          <c:idx val="2"/>
          <c:order val="2"/>
          <c:tx>
            <c:strRef>
              <c:f>'TABULACION 2'!$A$30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0F3-4D4C-A4F5-35E2A6EA3F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0F3-4D4C-A4F5-35E2A6EA3F79}"/>
              </c:ext>
            </c:extLst>
          </c:dPt>
          <c:cat>
            <c:numRef>
              <c:f>'TABULACION 2'!$G$54</c:f>
              <c:numCache>
                <c:formatCode>General</c:formatCode>
                <c:ptCount val="1"/>
              </c:numCache>
            </c:numRef>
          </c:cat>
          <c:val>
            <c:numRef>
              <c:f>'TABULACION 2'!$B$30:$C$30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38-4103-9C52-9645F9C03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2'!$A$53</c:f>
              <c:strCache>
                <c:ptCount val="1"/>
                <c:pt idx="0">
                  <c:v>23.¿Existe en su sitio de trabajo riesgos de incendio o explosión?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D1-460F-BA18-21E4EDC2B1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D1-460F-BA18-21E4EDC2B1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2'!$B$53:$C$53</c:f>
              <c:numCache>
                <c:formatCode>General</c:formatCode>
                <c:ptCount val="2"/>
                <c:pt idx="0">
                  <c:v>13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B-42DC-B4FD-33C8B1403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2'!$A$54</c:f>
              <c:strCache>
                <c:ptCount val="1"/>
                <c:pt idx="0">
                  <c:v>24.¿Puede abandonar el trabajo por unos minutos sin necesidad que lo sustituyan?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A5-4CAF-8501-43C9F376EF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A5-4CAF-8501-43C9F376EF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2'!$B$54:$C$54</c:f>
              <c:numCache>
                <c:formatCode>General</c:formatCode>
                <c:ptCount val="2"/>
                <c:pt idx="0">
                  <c:v>11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2-4354-A932-88CD13B75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33333333333332E-3"/>
          <c:y val="0.15782407407407409"/>
          <c:w val="0.93888888888888888"/>
          <c:h val="0.60027668416447943"/>
        </c:manualLayout>
      </c:layout>
      <c:pie3DChart>
        <c:varyColors val="1"/>
        <c:ser>
          <c:idx val="0"/>
          <c:order val="0"/>
          <c:tx>
            <c:strRef>
              <c:f>'TABULACION 2'!$A$55</c:f>
              <c:strCache>
                <c:ptCount val="1"/>
                <c:pt idx="0">
                  <c:v>25.¿Su trabajo lo realiza al aire libre?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18-4596-A2D4-E763D621C6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18-4596-A2D4-E763D621C6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2'!$B$55:$C$55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1-487A-85BE-1804869EB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2'!$A$56</c:f>
              <c:strCache>
                <c:ptCount val="1"/>
                <c:pt idx="0">
                  <c:v>26.¿Las tareas que realiza le producen  “sensación de peligrosidad”?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3B8-4BF8-8011-CE613CDF72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3B8-4BF8-8011-CE613CDF72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2'!$B$56:$C$56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B-4648-BD76-DA4F19009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0453703703703704"/>
          <c:w val="0.93888888888888888"/>
          <c:h val="0.52115631379410909"/>
        </c:manualLayout>
      </c:layout>
      <c:pie3DChart>
        <c:varyColors val="1"/>
        <c:ser>
          <c:idx val="0"/>
          <c:order val="0"/>
          <c:tx>
            <c:strRef>
              <c:f>'TABULACION 2'!$A$57</c:f>
              <c:strCache>
                <c:ptCount val="1"/>
                <c:pt idx="0">
                  <c:v>27.¿Su labor le exige levantar y transportar cargas?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BE-4A58-8668-0822CD659C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BE-4A58-8668-0822CD659C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2'!$B$57:$C$57</c:f>
              <c:numCache>
                <c:formatCode>General</c:formatCode>
                <c:ptCount val="2"/>
                <c:pt idx="0">
                  <c:v>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F-4442-BCE2-1035B0A0A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2'!$A$58</c:f>
              <c:strCache>
                <c:ptCount val="1"/>
                <c:pt idx="0">
                  <c:v>28.¿Cuenta con ayudas mecánicas para realizar dicha labor?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A6-4D11-BB79-DD2213FF20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A6-4D11-BB79-DD2213FF20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2'!$B$58:$C$58</c:f>
              <c:numCache>
                <c:formatCode>General</c:formatCode>
                <c:ptCount val="2"/>
                <c:pt idx="0">
                  <c:v>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9-4FE2-955E-178ED57F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4316778588810363E-2"/>
          <c:y val="0.28176773817153589"/>
          <c:w val="0.92209467685043123"/>
          <c:h val="0.51214270454727728"/>
        </c:manualLayout>
      </c:layout>
      <c:pie3DChart>
        <c:varyColors val="1"/>
        <c:ser>
          <c:idx val="0"/>
          <c:order val="0"/>
          <c:tx>
            <c:strRef>
              <c:f>'TABULACION 2'!$A$59</c:f>
              <c:strCache>
                <c:ptCount val="1"/>
                <c:pt idx="0">
                  <c:v>29.¿En su puesto de trabajo necesita utilizar elementos de protección personal? Cuales</c:v>
                </c:pt>
              </c:strCache>
            </c:strRef>
          </c:tx>
          <c:dPt>
            <c:idx val="0"/>
            <c:bubble3D val="0"/>
            <c:explosion val="2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A5-4AEA-94E9-2CDEAB9AA4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89-4F9B-8D44-8673A8C9C9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2'!$B$59:$C$59</c:f>
              <c:numCache>
                <c:formatCode>General</c:formatCode>
                <c:ptCount val="2"/>
                <c:pt idx="0">
                  <c:v>9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5-4AEA-94E9-2CDEAB9AA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'TABULACION 2'!$A$60</c:f>
              <c:strCache>
                <c:ptCount val="1"/>
                <c:pt idx="0">
                  <c:v>30.¿En el sitio de trabajo manipula o está en contacto con productos químicos?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17F-49CD-B5FD-9A62403958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7F-49CD-B5FD-9A624039580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7F-49CD-B5FD-9A624039580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7F-49CD-B5FD-9A62403958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2'!$B$60:$C$60</c:f>
              <c:numCache>
                <c:formatCode>General</c:formatCode>
                <c:ptCount val="2"/>
                <c:pt idx="0">
                  <c:v>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F-49CD-B5FD-9A6240395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394441344294848E-2"/>
          <c:y val="0.25683947725085376"/>
          <c:w val="0.93973222904255138"/>
          <c:h val="0.51857615435305426"/>
        </c:manualLayout>
      </c:layout>
      <c:pie3DChart>
        <c:varyColors val="1"/>
        <c:ser>
          <c:idx val="0"/>
          <c:order val="0"/>
          <c:tx>
            <c:strRef>
              <c:f>'TABULACION 2'!$A$62</c:f>
              <c:strCache>
                <c:ptCount val="1"/>
                <c:pt idx="0">
                  <c:v>32.¿Las máquinas y herramientas que utiliza en el desempeño de su labor producen vibración?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D5-4257-A3E2-6194332A2C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D5-4257-A3E2-6194332A2C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2'!$B$62:$C$62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9-460B-9764-F1F4B41BF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4487230160983538"/>
          <c:w val="0.93888888888888888"/>
          <c:h val="0.36291557305336836"/>
        </c:manualLayout>
      </c:layout>
      <c:pie3DChart>
        <c:varyColors val="1"/>
        <c:ser>
          <c:idx val="0"/>
          <c:order val="0"/>
          <c:tx>
            <c:strRef>
              <c:f>'TABULACION 2'!$A$63</c:f>
              <c:strCache>
                <c:ptCount val="1"/>
                <c:pt idx="0">
                  <c:v>33.¿Su labor genera riesgos mecánicos (proyección de partículas, atrapamiento, manejo de elementos contaminantes, punzantes, calientes abrasivas?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70E-4E7A-96DF-C7E7168ADB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70E-4E7A-96DF-C7E7168ADB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2'!$B$63:$C$63</c:f>
              <c:numCache>
                <c:formatCode>General</c:formatCode>
                <c:ptCount val="2"/>
                <c:pt idx="0">
                  <c:v>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1-419A-A63B-3051FE760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936452604926798E-2"/>
          <c:y val="0.45724849538524115"/>
          <c:w val="0.93888888888888888"/>
          <c:h val="0.36291557305336836"/>
        </c:manualLayout>
      </c:layout>
      <c:pie3DChart>
        <c:varyColors val="1"/>
        <c:ser>
          <c:idx val="0"/>
          <c:order val="0"/>
          <c:tx>
            <c:strRef>
              <c:f>'TABULACION 2'!$A$64</c:f>
              <c:strCache>
                <c:ptCount val="1"/>
                <c:pt idx="0">
                  <c:v>34.Si está a cargo de alguna máquina o herramienta, ¿tiene los mandos dispuestos  de tal manera que no necesite  realizar movimientos forzados para accionarlo?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B-4FD1-AD04-262764E5FD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B-4FD1-AD04-262764E5F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2'!$B$64:$C$64</c:f>
              <c:numCache>
                <c:formatCode>General</c:formatCode>
                <c:ptCount val="2"/>
                <c:pt idx="0">
                  <c:v>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9-4DB4-973D-9072891F4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444444444444445E-2"/>
          <c:y val="0.24157407407407408"/>
          <c:w val="0.93888888888888888"/>
          <c:h val="0.52115631379410909"/>
        </c:manualLayout>
      </c:layout>
      <c:pie3DChart>
        <c:varyColors val="1"/>
        <c:ser>
          <c:idx val="0"/>
          <c:order val="0"/>
          <c:tx>
            <c:strRef>
              <c:f>'TABULACION 2'!$A$61</c:f>
              <c:strCache>
                <c:ptCount val="1"/>
                <c:pt idx="0">
                  <c:v>31.¿Manipula productos o desechos de origen animal o vegetal?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91A-4F5F-B5C0-6377F02CC1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91A-4F5F-B5C0-6377F02CC1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'TABULACION 2'!$B$29:$C$30</c:f>
              <c:multiLvlStrCache>
                <c:ptCount val="2"/>
                <c:lvl>
                  <c:pt idx="0">
                    <c:v>SI </c:v>
                  </c:pt>
                  <c:pt idx="1">
                    <c:v>NO </c:v>
                  </c:pt>
                </c:lvl>
                <c:lvl>
                  <c:pt idx="0">
                    <c:v>PERSONAS QUE SE IDENTIFICAN CON LA CONDICION </c:v>
                  </c:pt>
                </c:lvl>
              </c:multiLvlStrCache>
            </c:multiLvlStrRef>
          </c:cat>
          <c:val>
            <c:numRef>
              <c:f>'TABULACION 2'!$B$61:$C$61</c:f>
              <c:numCache>
                <c:formatCode>General</c:formatCode>
                <c:ptCount val="2"/>
                <c:pt idx="0">
                  <c:v>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3-46EE-8033-CACE95367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26" Type="http://schemas.openxmlformats.org/officeDocument/2006/relationships/chart" Target="../charts/chart43.xml"/><Relationship Id="rId3" Type="http://schemas.openxmlformats.org/officeDocument/2006/relationships/chart" Target="../charts/chart20.xml"/><Relationship Id="rId21" Type="http://schemas.openxmlformats.org/officeDocument/2006/relationships/chart" Target="../charts/chart38.xml"/><Relationship Id="rId34" Type="http://schemas.openxmlformats.org/officeDocument/2006/relationships/chart" Target="../charts/chart51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5" Type="http://schemas.openxmlformats.org/officeDocument/2006/relationships/chart" Target="../charts/chart42.xml"/><Relationship Id="rId33" Type="http://schemas.openxmlformats.org/officeDocument/2006/relationships/chart" Target="../charts/chart50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29" Type="http://schemas.openxmlformats.org/officeDocument/2006/relationships/chart" Target="../charts/chart46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24" Type="http://schemas.openxmlformats.org/officeDocument/2006/relationships/chart" Target="../charts/chart41.xml"/><Relationship Id="rId32" Type="http://schemas.openxmlformats.org/officeDocument/2006/relationships/chart" Target="../charts/chart49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23" Type="http://schemas.openxmlformats.org/officeDocument/2006/relationships/chart" Target="../charts/chart40.xml"/><Relationship Id="rId28" Type="http://schemas.openxmlformats.org/officeDocument/2006/relationships/chart" Target="../charts/chart45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31" Type="http://schemas.openxmlformats.org/officeDocument/2006/relationships/chart" Target="../charts/chart48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Relationship Id="rId22" Type="http://schemas.openxmlformats.org/officeDocument/2006/relationships/chart" Target="../charts/chart39.xml"/><Relationship Id="rId27" Type="http://schemas.openxmlformats.org/officeDocument/2006/relationships/chart" Target="../charts/chart44.xml"/><Relationship Id="rId30" Type="http://schemas.openxmlformats.org/officeDocument/2006/relationships/chart" Target="../charts/chart47.xml"/><Relationship Id="rId35" Type="http://schemas.openxmlformats.org/officeDocument/2006/relationships/chart" Target="../charts/chart52.xml"/><Relationship Id="rId8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</xdr:rowOff>
    </xdr:from>
    <xdr:to>
      <xdr:col>3</xdr:col>
      <xdr:colOff>895350</xdr:colOff>
      <xdr:row>16</xdr:row>
      <xdr:rowOff>139700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24</xdr:row>
      <xdr:rowOff>28575</xdr:rowOff>
    </xdr:from>
    <xdr:to>
      <xdr:col>3</xdr:col>
      <xdr:colOff>838200</xdr:colOff>
      <xdr:row>33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22225</xdr:colOff>
      <xdr:row>6</xdr:row>
      <xdr:rowOff>50800</xdr:rowOff>
    </xdr:from>
    <xdr:to>
      <xdr:col>10</xdr:col>
      <xdr:colOff>742950</xdr:colOff>
      <xdr:row>16</xdr:row>
      <xdr:rowOff>158750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122917</xdr:colOff>
      <xdr:row>24</xdr:row>
      <xdr:rowOff>86631</xdr:rowOff>
    </xdr:from>
    <xdr:to>
      <xdr:col>11</xdr:col>
      <xdr:colOff>1453242</xdr:colOff>
      <xdr:row>39</xdr:row>
      <xdr:rowOff>117928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154216</xdr:colOff>
      <xdr:row>1</xdr:row>
      <xdr:rowOff>72117</xdr:rowOff>
    </xdr:from>
    <xdr:to>
      <xdr:col>21</xdr:col>
      <xdr:colOff>1501322</xdr:colOff>
      <xdr:row>15</xdr:row>
      <xdr:rowOff>163285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53068</xdr:colOff>
      <xdr:row>24</xdr:row>
      <xdr:rowOff>111124</xdr:rowOff>
    </xdr:from>
    <xdr:to>
      <xdr:col>19</xdr:col>
      <xdr:colOff>689428</xdr:colOff>
      <xdr:row>39</xdr:row>
      <xdr:rowOff>27215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75668</xdr:colOff>
      <xdr:row>15</xdr:row>
      <xdr:rowOff>55216</xdr:rowOff>
    </xdr:from>
    <xdr:to>
      <xdr:col>32</xdr:col>
      <xdr:colOff>220870</xdr:colOff>
      <xdr:row>39</xdr:row>
      <xdr:rowOff>41412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45038</xdr:colOff>
      <xdr:row>49</xdr:row>
      <xdr:rowOff>22226</xdr:rowOff>
    </xdr:from>
    <xdr:to>
      <xdr:col>32</xdr:col>
      <xdr:colOff>304799</xdr:colOff>
      <xdr:row>62</xdr:row>
      <xdr:rowOff>172706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92075</xdr:colOff>
      <xdr:row>9</xdr:row>
      <xdr:rowOff>67732</xdr:rowOff>
    </xdr:from>
    <xdr:to>
      <xdr:col>40</xdr:col>
      <xdr:colOff>698500</xdr:colOff>
      <xdr:row>16</xdr:row>
      <xdr:rowOff>165099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73025</xdr:colOff>
      <xdr:row>26</xdr:row>
      <xdr:rowOff>28575</xdr:rowOff>
    </xdr:from>
    <xdr:to>
      <xdr:col>40</xdr:col>
      <xdr:colOff>692150</xdr:colOff>
      <xdr:row>37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42</xdr:col>
      <xdr:colOff>47625</xdr:colOff>
      <xdr:row>9</xdr:row>
      <xdr:rowOff>28575</xdr:rowOff>
    </xdr:from>
    <xdr:to>
      <xdr:col>47</xdr:col>
      <xdr:colOff>1109133</xdr:colOff>
      <xdr:row>16</xdr:row>
      <xdr:rowOff>107950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56092</xdr:colOff>
      <xdr:row>27</xdr:row>
      <xdr:rowOff>143934</xdr:rowOff>
    </xdr:from>
    <xdr:to>
      <xdr:col>47</xdr:col>
      <xdr:colOff>1049867</xdr:colOff>
      <xdr:row>39</xdr:row>
      <xdr:rowOff>137583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53</xdr:col>
      <xdr:colOff>47625</xdr:colOff>
      <xdr:row>1</xdr:row>
      <xdr:rowOff>60325</xdr:rowOff>
    </xdr:from>
    <xdr:to>
      <xdr:col>56</xdr:col>
      <xdr:colOff>838200</xdr:colOff>
      <xdr:row>9</xdr:row>
      <xdr:rowOff>152400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49</xdr:col>
      <xdr:colOff>28575</xdr:colOff>
      <xdr:row>10</xdr:row>
      <xdr:rowOff>34925</xdr:rowOff>
    </xdr:from>
    <xdr:to>
      <xdr:col>53</xdr:col>
      <xdr:colOff>702733</xdr:colOff>
      <xdr:row>16</xdr:row>
      <xdr:rowOff>171450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49</xdr:col>
      <xdr:colOff>53975</xdr:colOff>
      <xdr:row>28</xdr:row>
      <xdr:rowOff>8466</xdr:rowOff>
    </xdr:from>
    <xdr:to>
      <xdr:col>53</xdr:col>
      <xdr:colOff>694266</xdr:colOff>
      <xdr:row>39</xdr:row>
      <xdr:rowOff>135466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54</xdr:col>
      <xdr:colOff>0</xdr:colOff>
      <xdr:row>28</xdr:row>
      <xdr:rowOff>0</xdr:rowOff>
    </xdr:from>
    <xdr:to>
      <xdr:col>56</xdr:col>
      <xdr:colOff>1206500</xdr:colOff>
      <xdr:row>39</xdr:row>
      <xdr:rowOff>152400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58</xdr:col>
      <xdr:colOff>92075</xdr:colOff>
      <xdr:row>5</xdr:row>
      <xdr:rowOff>82550</xdr:rowOff>
    </xdr:from>
    <xdr:to>
      <xdr:col>62</xdr:col>
      <xdr:colOff>745066</xdr:colOff>
      <xdr:row>16</xdr:row>
      <xdr:rowOff>69850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57976</xdr:colOff>
      <xdr:row>2</xdr:row>
      <xdr:rowOff>20652</xdr:rowOff>
    </xdr:from>
    <xdr:to>
      <xdr:col>5</xdr:col>
      <xdr:colOff>737266</xdr:colOff>
      <xdr:row>11</xdr:row>
      <xdr:rowOff>13436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723881" y="212247"/>
          <a:ext cx="2146359" cy="18539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acuerdo a los encuestados el 23% dice que tiene de 18 a 25 años, el 38% dice que tiene de 26 a 35 años, el 23% dice que tiene de 36 a 45 años, mientras que el 15% tienen 46 o más años.</a:t>
          </a:r>
          <a:endParaRPr lang="en-US" sz="1100"/>
        </a:p>
      </xdr:txBody>
    </xdr:sp>
    <xdr:clientData/>
  </xdr:twoCellAnchor>
  <xdr:twoCellAnchor>
    <xdr:from>
      <xdr:col>4</xdr:col>
      <xdr:colOff>47027</xdr:colOff>
      <xdr:row>18</xdr:row>
      <xdr:rowOff>32347</xdr:rowOff>
    </xdr:from>
    <xdr:to>
      <xdr:col>5</xdr:col>
      <xdr:colOff>732539</xdr:colOff>
      <xdr:row>28</xdr:row>
      <xdr:rowOff>17914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2712932" y="3579588"/>
          <a:ext cx="2152581" cy="1846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De acuerdo a los encuestados el 46% die que es soltero (a), el 46% vive en unión libre, mientras que el 8% de la población está casado (a).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en-US" sz="1100"/>
        </a:p>
      </xdr:txBody>
    </xdr:sp>
    <xdr:clientData/>
  </xdr:twoCellAnchor>
  <xdr:twoCellAnchor>
    <xdr:from>
      <xdr:col>11</xdr:col>
      <xdr:colOff>149831</xdr:colOff>
      <xdr:row>1</xdr:row>
      <xdr:rowOff>71349</xdr:rowOff>
    </xdr:from>
    <xdr:to>
      <xdr:col>13</xdr:col>
      <xdr:colOff>335337</xdr:colOff>
      <xdr:row>11</xdr:row>
      <xdr:rowOff>164102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7420224" y="71349"/>
          <a:ext cx="3125057" cy="21475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El 77% de los trabajadores son hombres y el 23% mujeres.</a:t>
          </a:r>
        </a:p>
        <a:p>
          <a:endParaRPr lang="en-US" sz="1100"/>
        </a:p>
      </xdr:txBody>
    </xdr:sp>
    <xdr:clientData/>
  </xdr:twoCellAnchor>
  <xdr:twoCellAnchor>
    <xdr:from>
      <xdr:col>12</xdr:col>
      <xdr:colOff>27215</xdr:colOff>
      <xdr:row>18</xdr:row>
      <xdr:rowOff>63500</xdr:rowOff>
    </xdr:from>
    <xdr:to>
      <xdr:col>13</xdr:col>
      <xdr:colOff>712727</xdr:colOff>
      <xdr:row>28</xdr:row>
      <xdr:rowOff>49067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8763001" y="3565071"/>
          <a:ext cx="2155083" cy="1799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De acuerdo a las encuestas el 15% de la población no tiene ninguna persona a su cargo, el 69% tiene de 1 a 3 personas a su cargo, mientras que el 15% de la población tiene más de 6 personas a su cargo.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endParaRPr lang="en-US" sz="1100"/>
        </a:p>
      </xdr:txBody>
    </xdr:sp>
    <xdr:clientData/>
  </xdr:twoCellAnchor>
  <xdr:twoCellAnchor>
    <xdr:from>
      <xdr:col>15</xdr:col>
      <xdr:colOff>0</xdr:colOff>
      <xdr:row>9</xdr:row>
      <xdr:rowOff>27215</xdr:rowOff>
    </xdr:from>
    <xdr:to>
      <xdr:col>19</xdr:col>
      <xdr:colOff>27214</xdr:colOff>
      <xdr:row>16</xdr:row>
      <xdr:rowOff>176068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11257643" y="1496786"/>
          <a:ext cx="2540000" cy="1799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De acuerdo a las encuestas el 8% no tiene ninguna escolaridad, el 31% tiene hasta secundaria, el 38% tiene un técnico/tecnólogo y el 23% tiene estudios universitarios.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endParaRPr lang="en-US" sz="1100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1406071</xdr:colOff>
      <xdr:row>31</xdr:row>
      <xdr:rowOff>27214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4532429" y="3683000"/>
          <a:ext cx="2168071" cy="2204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De acuerdo al grafico el 2% tiene vivienda propia, él 3% vive en vivienda familia, mientras que el 8% arrienda vivienda.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endParaRPr lang="en-US" sz="1100"/>
        </a:p>
      </xdr:txBody>
    </xdr:sp>
    <xdr:clientData/>
  </xdr:twoCellAnchor>
  <xdr:twoCellAnchor>
    <xdr:from>
      <xdr:col>27</xdr:col>
      <xdr:colOff>0</xdr:colOff>
      <xdr:row>1</xdr:row>
      <xdr:rowOff>0</xdr:rowOff>
    </xdr:from>
    <xdr:to>
      <xdr:col>32</xdr:col>
      <xdr:colOff>276087</xdr:colOff>
      <xdr:row>12</xdr:row>
      <xdr:rowOff>110434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9422717" y="0"/>
          <a:ext cx="4348370" cy="24985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De acuerdo a la gráfica el 15% usa su tiempo libre para labores domésticas o en otro trabajo, el 38% lo usa en recreación y deporte y el restante se divide en cantidades iguales a un 8% de la población que usa su tiempo libre en varias actividades a la vez como estudio, recreación y deporte, otro trabajo y labores domésticas. </a:t>
          </a:r>
          <a:endParaRPr lang="en-US" sz="1100"/>
        </a:p>
      </xdr:txBody>
    </xdr:sp>
    <xdr:clientData/>
  </xdr:twoCellAnchor>
  <xdr:twoCellAnchor>
    <xdr:from>
      <xdr:col>28</xdr:col>
      <xdr:colOff>1</xdr:colOff>
      <xdr:row>41</xdr:row>
      <xdr:rowOff>0</xdr:rowOff>
    </xdr:from>
    <xdr:to>
      <xdr:col>32</xdr:col>
      <xdr:colOff>347135</xdr:colOff>
      <xdr:row>47</xdr:row>
      <xdr:rowOff>160867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20286134" y="8017933"/>
          <a:ext cx="3674534" cy="1278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De acuerdo al gráfico el 31% de la población gana entre 1 a 2 S.M.L, el 61% gana el S.M.L, el 8% gana entre 3 a 4 S.M.L y el 0% gana más de 5 S.M.L.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endParaRPr lang="en-US" sz="1100"/>
        </a:p>
      </xdr:txBody>
    </xdr:sp>
    <xdr:clientData/>
  </xdr:twoCellAnchor>
  <xdr:twoCellAnchor>
    <xdr:from>
      <xdr:col>38</xdr:col>
      <xdr:colOff>67734</xdr:colOff>
      <xdr:row>1</xdr:row>
      <xdr:rowOff>42333</xdr:rowOff>
    </xdr:from>
    <xdr:to>
      <xdr:col>40</xdr:col>
      <xdr:colOff>736600</xdr:colOff>
      <xdr:row>9</xdr:row>
      <xdr:rowOff>59266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26932467" y="42333"/>
          <a:ext cx="2192866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De acuerdo al gráfico el 46% de la población lleva más de 2 años, el 23% lleva menos de 1 mes, el</a:t>
          </a:r>
          <a:r>
            <a:rPr lang="es-ES" sz="1100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0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% lleva entre 7 a 11 meses, otro 8% lleva de 1 a 2 años y el 23% lleva de 1 a 6 meses de antigüedad en la empresa.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endParaRPr lang="en-US" sz="1100"/>
        </a:p>
      </xdr:txBody>
    </xdr:sp>
    <xdr:clientData/>
  </xdr:twoCellAnchor>
  <xdr:twoCellAnchor>
    <xdr:from>
      <xdr:col>38</xdr:col>
      <xdr:colOff>42334</xdr:colOff>
      <xdr:row>18</xdr:row>
      <xdr:rowOff>16933</xdr:rowOff>
    </xdr:from>
    <xdr:to>
      <xdr:col>40</xdr:col>
      <xdr:colOff>711200</xdr:colOff>
      <xdr:row>26</xdr:row>
      <xdr:rowOff>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26907067" y="3589866"/>
          <a:ext cx="2192866" cy="1473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De acuerdo a la gráfica el 15% lleva menos de un mes de antigüedad en el cargo, el 23% lleva de 1 a 6 meses, el 0% lleva de 7 a 11 meses, el 8% lleva de1 a 2 años y el 54% lleva más de 2 años en el cargo. </a:t>
          </a:r>
          <a:endParaRPr lang="en-US" sz="1100"/>
        </a:p>
      </xdr:txBody>
    </xdr:sp>
    <xdr:clientData/>
  </xdr:twoCellAnchor>
  <xdr:twoCellAnchor>
    <xdr:from>
      <xdr:col>46</xdr:col>
      <xdr:colOff>16934</xdr:colOff>
      <xdr:row>1</xdr:row>
      <xdr:rowOff>33867</xdr:rowOff>
    </xdr:from>
    <xdr:to>
      <xdr:col>47</xdr:col>
      <xdr:colOff>1109133</xdr:colOff>
      <xdr:row>8</xdr:row>
      <xdr:rowOff>143933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32452734" y="33867"/>
          <a:ext cx="1854199" cy="14308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El 100% de la población dice que no ha participado de ninguna actividad de salud realizada por la empresa. 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endParaRPr lang="en-US" sz="1100"/>
        </a:p>
      </xdr:txBody>
    </xdr:sp>
    <xdr:clientData/>
  </xdr:twoCellAnchor>
  <xdr:twoCellAnchor>
    <xdr:from>
      <xdr:col>46</xdr:col>
      <xdr:colOff>59267</xdr:colOff>
      <xdr:row>18</xdr:row>
      <xdr:rowOff>33866</xdr:rowOff>
    </xdr:from>
    <xdr:to>
      <xdr:col>47</xdr:col>
      <xdr:colOff>1109133</xdr:colOff>
      <xdr:row>27</xdr:row>
      <xdr:rowOff>67734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32495067" y="3606799"/>
          <a:ext cx="1811866" cy="1710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Según gráfico al 92% de la población no le han diagnosticado ninguna enfermedad, mientras que al 8%, el cual equivale a una (1) si le diagnosticaron una enfermedad. 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endParaRPr lang="en-US" sz="1100"/>
        </a:p>
      </xdr:txBody>
    </xdr:sp>
    <xdr:clientData/>
  </xdr:twoCellAnchor>
  <xdr:twoCellAnchor>
    <xdr:from>
      <xdr:col>54</xdr:col>
      <xdr:colOff>25401</xdr:colOff>
      <xdr:row>10</xdr:row>
      <xdr:rowOff>33866</xdr:rowOff>
    </xdr:from>
    <xdr:to>
      <xdr:col>56</xdr:col>
      <xdr:colOff>1185334</xdr:colOff>
      <xdr:row>16</xdr:row>
      <xdr:rowOff>143934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38049201" y="1727199"/>
          <a:ext cx="2683933" cy="16002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Según las gráficas el 31% NO consume bebidas alcohólicas, mientras que 62% SI consume bebidas alcohólicas, porcentaje de las cual 6 personas lo hacen ocasionalmente, 1 persona quincenalmente y 1 persona no especifico la frecuencia con que consume alcohol. 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endParaRPr lang="en-US" sz="1100"/>
        </a:p>
      </xdr:txBody>
    </xdr:sp>
    <xdr:clientData/>
  </xdr:twoCellAnchor>
  <xdr:twoCellAnchor>
    <xdr:from>
      <xdr:col>54</xdr:col>
      <xdr:colOff>59266</xdr:colOff>
      <xdr:row>18</xdr:row>
      <xdr:rowOff>59266</xdr:rowOff>
    </xdr:from>
    <xdr:to>
      <xdr:col>56</xdr:col>
      <xdr:colOff>1193799</xdr:colOff>
      <xdr:row>26</xdr:row>
      <xdr:rowOff>152400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38116933" y="3632199"/>
          <a:ext cx="2658533" cy="1583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 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De acuerdo a las gráficas el 38% NO practica ningún deporte, mientras que el 54% de los trabajadores práctica deporte con una frecuencia del 9% lo hace semanalmente, el 82% ocasionalmente, el 9% tres veces a la semana.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</a:pPr>
          <a:endParaRPr lang="en-US" sz="1100"/>
        </a:p>
      </xdr:txBody>
    </xdr:sp>
    <xdr:clientData/>
  </xdr:twoCellAnchor>
  <xdr:twoCellAnchor>
    <xdr:from>
      <xdr:col>63</xdr:col>
      <xdr:colOff>42334</xdr:colOff>
      <xdr:row>1</xdr:row>
      <xdr:rowOff>50799</xdr:rowOff>
    </xdr:from>
    <xdr:to>
      <xdr:col>63</xdr:col>
      <xdr:colOff>1769534</xdr:colOff>
      <xdr:row>16</xdr:row>
      <xdr:rowOff>59265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43561001" y="50799"/>
          <a:ext cx="1727200" cy="3191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7000"/>
            </a:lnSpc>
            <a:spcAft>
              <a:spcPts val="800"/>
            </a:spcAft>
            <a:tabLst>
              <a:tab pos="859155" algn="l"/>
            </a:tabLst>
          </a:pPr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CONCLUSION: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Según la información del gráfico el 92% de los trabajadores NO fuma, mientras que el 8% Fuma de manera ocasional.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07000"/>
            </a:lnSpc>
            <a:spcAft>
              <a:spcPts val="800"/>
            </a:spcAft>
          </a:pP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155285</xdr:colOff>
      <xdr:row>0</xdr:row>
      <xdr:rowOff>79470</xdr:rowOff>
    </xdr:from>
    <xdr:to>
      <xdr:col>15</xdr:col>
      <xdr:colOff>86975</xdr:colOff>
      <xdr:row>23</xdr:row>
      <xdr:rowOff>157018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108478</xdr:colOff>
      <xdr:row>27</xdr:row>
      <xdr:rowOff>476071</xdr:rowOff>
    </xdr:from>
    <xdr:to>
      <xdr:col>7</xdr:col>
      <xdr:colOff>341923</xdr:colOff>
      <xdr:row>31</xdr:row>
      <xdr:rowOff>517768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1255</xdr:colOff>
      <xdr:row>27</xdr:row>
      <xdr:rowOff>460291</xdr:rowOff>
    </xdr:from>
    <xdr:to>
      <xdr:col>16</xdr:col>
      <xdr:colOff>193587</xdr:colOff>
      <xdr:row>31</xdr:row>
      <xdr:rowOff>464809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651398</xdr:colOff>
      <xdr:row>27</xdr:row>
      <xdr:rowOff>483358</xdr:rowOff>
    </xdr:from>
    <xdr:to>
      <xdr:col>25</xdr:col>
      <xdr:colOff>434675</xdr:colOff>
      <xdr:row>31</xdr:row>
      <xdr:rowOff>500621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84254</xdr:colOff>
      <xdr:row>28</xdr:row>
      <xdr:rowOff>9366</xdr:rowOff>
    </xdr:from>
    <xdr:to>
      <xdr:col>35</xdr:col>
      <xdr:colOff>183747</xdr:colOff>
      <xdr:row>31</xdr:row>
      <xdr:rowOff>510761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754198</xdr:colOff>
      <xdr:row>27</xdr:row>
      <xdr:rowOff>494542</xdr:rowOff>
    </xdr:from>
    <xdr:to>
      <xdr:col>45</xdr:col>
      <xdr:colOff>175690</xdr:colOff>
      <xdr:row>31</xdr:row>
      <xdr:rowOff>469348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92807</xdr:colOff>
      <xdr:row>32</xdr:row>
      <xdr:rowOff>157285</xdr:rowOff>
    </xdr:from>
    <xdr:to>
      <xdr:col>7</xdr:col>
      <xdr:colOff>293077</xdr:colOff>
      <xdr:row>36</xdr:row>
      <xdr:rowOff>381000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11101</xdr:colOff>
      <xdr:row>32</xdr:row>
      <xdr:rowOff>67808</xdr:rowOff>
    </xdr:from>
    <xdr:to>
      <xdr:col>16</xdr:col>
      <xdr:colOff>279755</xdr:colOff>
      <xdr:row>36</xdr:row>
      <xdr:rowOff>281754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669155</xdr:colOff>
      <xdr:row>32</xdr:row>
      <xdr:rowOff>102629</xdr:rowOff>
    </xdr:from>
    <xdr:to>
      <xdr:col>25</xdr:col>
      <xdr:colOff>412342</xdr:colOff>
      <xdr:row>36</xdr:row>
      <xdr:rowOff>297037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102280</xdr:colOff>
      <xdr:row>32</xdr:row>
      <xdr:rowOff>117913</xdr:rowOff>
    </xdr:from>
    <xdr:to>
      <xdr:col>35</xdr:col>
      <xdr:colOff>193016</xdr:colOff>
      <xdr:row>36</xdr:row>
      <xdr:rowOff>361166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722590</xdr:colOff>
      <xdr:row>32</xdr:row>
      <xdr:rowOff>146629</xdr:rowOff>
    </xdr:from>
    <xdr:to>
      <xdr:col>45</xdr:col>
      <xdr:colOff>172701</xdr:colOff>
      <xdr:row>36</xdr:row>
      <xdr:rowOff>419190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102577</xdr:colOff>
      <xdr:row>36</xdr:row>
      <xdr:rowOff>460375</xdr:rowOff>
    </xdr:from>
    <xdr:to>
      <xdr:col>7</xdr:col>
      <xdr:colOff>222251</xdr:colOff>
      <xdr:row>41</xdr:row>
      <xdr:rowOff>97692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654483</xdr:colOff>
      <xdr:row>36</xdr:row>
      <xdr:rowOff>414337</xdr:rowOff>
    </xdr:from>
    <xdr:to>
      <xdr:col>25</xdr:col>
      <xdr:colOff>400723</xdr:colOff>
      <xdr:row>41</xdr:row>
      <xdr:rowOff>158749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73602</xdr:colOff>
      <xdr:row>36</xdr:row>
      <xdr:rowOff>458595</xdr:rowOff>
    </xdr:from>
    <xdr:to>
      <xdr:col>35</xdr:col>
      <xdr:colOff>134696</xdr:colOff>
      <xdr:row>41</xdr:row>
      <xdr:rowOff>192424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699703</xdr:colOff>
      <xdr:row>37</xdr:row>
      <xdr:rowOff>19387</xdr:rowOff>
    </xdr:from>
    <xdr:to>
      <xdr:col>45</xdr:col>
      <xdr:colOff>207818</xdr:colOff>
      <xdr:row>41</xdr:row>
      <xdr:rowOff>235720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41372</xdr:colOff>
      <xdr:row>36</xdr:row>
      <xdr:rowOff>407603</xdr:rowOff>
    </xdr:from>
    <xdr:to>
      <xdr:col>16</xdr:col>
      <xdr:colOff>384850</xdr:colOff>
      <xdr:row>41</xdr:row>
      <xdr:rowOff>88515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116417</xdr:colOff>
      <xdr:row>41</xdr:row>
      <xdr:rowOff>311150</xdr:rowOff>
    </xdr:from>
    <xdr:to>
      <xdr:col>7</xdr:col>
      <xdr:colOff>190500</xdr:colOff>
      <xdr:row>46</xdr:row>
      <xdr:rowOff>84667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749494</xdr:colOff>
      <xdr:row>41</xdr:row>
      <xdr:rowOff>236104</xdr:rowOff>
    </xdr:from>
    <xdr:to>
      <xdr:col>16</xdr:col>
      <xdr:colOff>413713</xdr:colOff>
      <xdr:row>45</xdr:row>
      <xdr:rowOff>508000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693690</xdr:colOff>
      <xdr:row>41</xdr:row>
      <xdr:rowOff>272665</xdr:rowOff>
    </xdr:from>
    <xdr:to>
      <xdr:col>25</xdr:col>
      <xdr:colOff>400242</xdr:colOff>
      <xdr:row>46</xdr:row>
      <xdr:rowOff>88515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112086</xdr:colOff>
      <xdr:row>41</xdr:row>
      <xdr:rowOff>304895</xdr:rowOff>
    </xdr:from>
    <xdr:to>
      <xdr:col>35</xdr:col>
      <xdr:colOff>125075</xdr:colOff>
      <xdr:row>46</xdr:row>
      <xdr:rowOff>139507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39</xdr:col>
      <xdr:colOff>737467</xdr:colOff>
      <xdr:row>41</xdr:row>
      <xdr:rowOff>285655</xdr:rowOff>
    </xdr:from>
    <xdr:to>
      <xdr:col>45</xdr:col>
      <xdr:colOff>269394</xdr:colOff>
      <xdr:row>46</xdr:row>
      <xdr:rowOff>120265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116898</xdr:colOff>
      <xdr:row>46</xdr:row>
      <xdr:rowOff>179821</xdr:rowOff>
    </xdr:from>
    <xdr:to>
      <xdr:col>7</xdr:col>
      <xdr:colOff>216477</xdr:colOff>
      <xdr:row>51</xdr:row>
      <xdr:rowOff>14432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6253</xdr:colOff>
      <xdr:row>46</xdr:row>
      <xdr:rowOff>160579</xdr:rowOff>
    </xdr:from>
    <xdr:to>
      <xdr:col>16</xdr:col>
      <xdr:colOff>408901</xdr:colOff>
      <xdr:row>50</xdr:row>
      <xdr:rowOff>514736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20</xdr:col>
      <xdr:colOff>670117</xdr:colOff>
      <xdr:row>46</xdr:row>
      <xdr:rowOff>189442</xdr:rowOff>
    </xdr:from>
    <xdr:to>
      <xdr:col>25</xdr:col>
      <xdr:colOff>404091</xdr:colOff>
      <xdr:row>51</xdr:row>
      <xdr:rowOff>67348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30</xdr:col>
      <xdr:colOff>102465</xdr:colOff>
      <xdr:row>46</xdr:row>
      <xdr:rowOff>269298</xdr:rowOff>
    </xdr:from>
    <xdr:to>
      <xdr:col>35</xdr:col>
      <xdr:colOff>57727</xdr:colOff>
      <xdr:row>50</xdr:row>
      <xdr:rowOff>482984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39</xdr:col>
      <xdr:colOff>722554</xdr:colOff>
      <xdr:row>46</xdr:row>
      <xdr:rowOff>284210</xdr:rowOff>
    </xdr:from>
    <xdr:to>
      <xdr:col>45</xdr:col>
      <xdr:colOff>323273</xdr:colOff>
      <xdr:row>50</xdr:row>
      <xdr:rowOff>481060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</xdr:col>
      <xdr:colOff>116418</xdr:colOff>
      <xdr:row>51</xdr:row>
      <xdr:rowOff>247650</xdr:rowOff>
    </xdr:from>
    <xdr:to>
      <xdr:col>7</xdr:col>
      <xdr:colOff>254000</xdr:colOff>
      <xdr:row>56</xdr:row>
      <xdr:rowOff>345017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11</xdr:col>
      <xdr:colOff>762866</xdr:colOff>
      <xdr:row>51</xdr:row>
      <xdr:rowOff>90343</xdr:rowOff>
    </xdr:from>
    <xdr:to>
      <xdr:col>16</xdr:col>
      <xdr:colOff>346364</xdr:colOff>
      <xdr:row>56</xdr:row>
      <xdr:rowOff>293543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20</xdr:col>
      <xdr:colOff>714375</xdr:colOff>
      <xdr:row>51</xdr:row>
      <xdr:rowOff>160579</xdr:rowOff>
    </xdr:from>
    <xdr:to>
      <xdr:col>25</xdr:col>
      <xdr:colOff>519545</xdr:colOff>
      <xdr:row>56</xdr:row>
      <xdr:rowOff>363779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30</xdr:col>
      <xdr:colOff>124594</xdr:colOff>
      <xdr:row>51</xdr:row>
      <xdr:rowOff>25881</xdr:rowOff>
    </xdr:from>
    <xdr:to>
      <xdr:col>35</xdr:col>
      <xdr:colOff>76969</xdr:colOff>
      <xdr:row>56</xdr:row>
      <xdr:rowOff>229081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726884</xdr:colOff>
      <xdr:row>51</xdr:row>
      <xdr:rowOff>64366</xdr:rowOff>
    </xdr:from>
    <xdr:to>
      <xdr:col>45</xdr:col>
      <xdr:colOff>330009</xdr:colOff>
      <xdr:row>56</xdr:row>
      <xdr:rowOff>267566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10908</xdr:colOff>
      <xdr:row>56</xdr:row>
      <xdr:rowOff>379868</xdr:rowOff>
    </xdr:from>
    <xdr:to>
      <xdr:col>16</xdr:col>
      <xdr:colOff>558030</xdr:colOff>
      <xdr:row>62</xdr:row>
      <xdr:rowOff>293730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20</xdr:col>
      <xdr:colOff>692330</xdr:colOff>
      <xdr:row>56</xdr:row>
      <xdr:rowOff>422190</xdr:rowOff>
    </xdr:from>
    <xdr:to>
      <xdr:col>25</xdr:col>
      <xdr:colOff>559728</xdr:colOff>
      <xdr:row>62</xdr:row>
      <xdr:rowOff>144318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30</xdr:col>
      <xdr:colOff>37521</xdr:colOff>
      <xdr:row>56</xdr:row>
      <xdr:rowOff>305603</xdr:rowOff>
    </xdr:from>
    <xdr:to>
      <xdr:col>35</xdr:col>
      <xdr:colOff>173182</xdr:colOff>
      <xdr:row>62</xdr:row>
      <xdr:rowOff>38485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</xdr:col>
      <xdr:colOff>132603</xdr:colOff>
      <xdr:row>56</xdr:row>
      <xdr:rowOff>449354</xdr:rowOff>
    </xdr:from>
    <xdr:to>
      <xdr:col>7</xdr:col>
      <xdr:colOff>298824</xdr:colOff>
      <xdr:row>62</xdr:row>
      <xdr:rowOff>429558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15</xdr:col>
      <xdr:colOff>159889</xdr:colOff>
      <xdr:row>0</xdr:row>
      <xdr:rowOff>133715</xdr:rowOff>
    </xdr:from>
    <xdr:to>
      <xdr:col>20</xdr:col>
      <xdr:colOff>727178</xdr:colOff>
      <xdr:row>10</xdr:row>
      <xdr:rowOff>174113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5205292" y="133715"/>
          <a:ext cx="4356805" cy="30720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CONCLUSIONES: </a:t>
          </a:r>
          <a:r>
            <a:rPr lang="es-ES" sz="1200">
              <a:effectLst/>
              <a:latin typeface="Arial" panose="020B0604020202020204" pitchFamily="34" charset="0"/>
              <a:ea typeface="Calibri" panose="020F0502020204030204" pitchFamily="34" charset="0"/>
            </a:rPr>
            <a:t>según el gráfico el 4% de la población presentan dificultad para concentrarse, palpitaciones cardiacas, el 2% gastritis, ulcera</a:t>
          </a:r>
          <a:r>
            <a:rPr lang="es-ES" sz="1200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,cambios visuales y otras alteraciones no anotadas</a:t>
          </a:r>
          <a:r>
            <a:rPr lang="es-ES" sz="1200">
              <a:effectLst/>
              <a:latin typeface="Arial" panose="020B0604020202020204" pitchFamily="34" charset="0"/>
              <a:ea typeface="Calibri" panose="020F0502020204030204" pitchFamily="34" charset="0"/>
            </a:rPr>
            <a:t>. El 4% manifiesta tener tos frecuente, sensación permanente de cansancio, Alteraciones del sueño (Insomnio, somnolencia). El 6% presenta cansancio mental, cansancio, fatiga, ardor o disconfor visual. El 8% manifiesta tener dolores de cabeza, dolores musculares. El 14% presenta estrés, dolor de cuello, espalda y cintura.</a:t>
          </a:r>
          <a:endParaRPr lang="en-US" sz="1200"/>
        </a:p>
      </xdr:txBody>
    </xdr:sp>
    <xdr:clientData/>
  </xdr:twoCellAnchor>
  <xdr:twoCellAnchor>
    <xdr:from>
      <xdr:col>7</xdr:col>
      <xdr:colOff>451184</xdr:colOff>
      <xdr:row>27</xdr:row>
      <xdr:rowOff>451186</xdr:rowOff>
    </xdr:from>
    <xdr:to>
      <xdr:col>11</xdr:col>
      <xdr:colOff>701842</xdr:colOff>
      <xdr:row>31</xdr:row>
      <xdr:rowOff>494805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9431898" y="6660991"/>
          <a:ext cx="3285463" cy="232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latin typeface="Arial  "/>
            </a:rPr>
            <a:t>CONCLUSIONES:</a:t>
          </a:r>
          <a:r>
            <a:rPr lang="en-US" sz="1200" b="1" baseline="0">
              <a:latin typeface="Arial  "/>
            </a:rPr>
            <a:t> </a:t>
          </a:r>
          <a:endParaRPr lang="en-US" sz="1200">
            <a:solidFill>
              <a:schemeClr val="dk1"/>
            </a:solidFill>
            <a:effectLst/>
            <a:latin typeface="Arial  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>
              <a:solidFill>
                <a:schemeClr val="dk1"/>
              </a:solidFill>
              <a:effectLst/>
              <a:latin typeface="Arial  "/>
              <a:ea typeface="+mn-ea"/>
              <a:cs typeface="+mn-cs"/>
            </a:rPr>
            <a:t>El 90% de los trabajadores conoce los riesgos a los que está expuesto,</a:t>
          </a:r>
          <a:r>
            <a:rPr lang="es-ES" sz="1200" baseline="0">
              <a:solidFill>
                <a:schemeClr val="dk1"/>
              </a:solidFill>
              <a:effectLst/>
              <a:latin typeface="Arial  "/>
              <a:ea typeface="+mn-ea"/>
              <a:cs typeface="+mn-cs"/>
            </a:rPr>
            <a:t> mientras que el 10% no lo conoce</a:t>
          </a:r>
          <a:endParaRPr lang="en-US" sz="1200">
            <a:solidFill>
              <a:schemeClr val="dk1"/>
            </a:solidFill>
            <a:effectLst/>
            <a:latin typeface="Arial  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16</xdr:col>
      <xdr:colOff>273713</xdr:colOff>
      <xdr:row>27</xdr:row>
      <xdr:rowOff>479885</xdr:rowOff>
    </xdr:from>
    <xdr:to>
      <xdr:col>20</xdr:col>
      <xdr:colOff>524371</xdr:colOff>
      <xdr:row>31</xdr:row>
      <xdr:rowOff>461818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16082739" y="6689690"/>
          <a:ext cx="3285463" cy="22662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Arial   "/>
              <a:ea typeface="+mn-ea"/>
              <a:cs typeface="+mn-cs"/>
            </a:rPr>
            <a:t>CONCLUSIONES:</a:t>
          </a:r>
          <a:r>
            <a:rPr lang="en-US" sz="1200" b="1" baseline="0">
              <a:solidFill>
                <a:schemeClr val="dk1"/>
              </a:solidFill>
              <a:effectLst/>
              <a:latin typeface="Arial   "/>
              <a:ea typeface="+mn-ea"/>
              <a:cs typeface="+mn-cs"/>
            </a:rPr>
            <a:t> </a:t>
          </a:r>
          <a:endParaRPr lang="en-US" sz="1400">
            <a:effectLst/>
            <a:latin typeface="Arial   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  "/>
              <a:ea typeface="+mn-ea"/>
              <a:cs typeface="+mn-cs"/>
            </a:rPr>
            <a:t>11 personas manifiestan haber recibido capacitación sobre el manejo de los riesgos a los que están expuestos, mientras que 2 no. </a:t>
          </a:r>
          <a:endParaRPr lang="en-US" sz="1100"/>
        </a:p>
      </xdr:txBody>
    </xdr:sp>
    <xdr:clientData/>
  </xdr:twoCellAnchor>
  <xdr:twoCellAnchor>
    <xdr:from>
      <xdr:col>25</xdr:col>
      <xdr:colOff>494805</xdr:colOff>
      <xdr:row>27</xdr:row>
      <xdr:rowOff>478311</xdr:rowOff>
    </xdr:from>
    <xdr:to>
      <xdr:col>29</xdr:col>
      <xdr:colOff>745463</xdr:colOff>
      <xdr:row>32</xdr:row>
      <xdr:rowOff>2385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3132143" y="6688116"/>
          <a:ext cx="3285463" cy="232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Arial   "/>
              <a:ea typeface="+mn-ea"/>
              <a:cs typeface="+mn-cs"/>
            </a:rPr>
            <a:t>CONCLUSIONES:</a:t>
          </a:r>
          <a:r>
            <a:rPr lang="en-US" sz="1200" b="1" baseline="0">
              <a:solidFill>
                <a:schemeClr val="dk1"/>
              </a:solidFill>
              <a:effectLst/>
              <a:latin typeface="Arial   "/>
              <a:ea typeface="+mn-ea"/>
              <a:cs typeface="+mn-cs"/>
            </a:rPr>
            <a:t> </a:t>
          </a:r>
          <a:r>
            <a:rPr lang="es-ES" sz="1200" b="0" baseline="0">
              <a:solidFill>
                <a:schemeClr val="dk1"/>
              </a:solidFill>
              <a:effectLst/>
              <a:latin typeface="Arial   "/>
              <a:ea typeface="+mn-ea"/>
              <a:cs typeface="+mn-cs"/>
            </a:rPr>
            <a:t>6</a:t>
          </a:r>
          <a:r>
            <a:rPr lang="es-ES" sz="1200">
              <a:solidFill>
                <a:schemeClr val="dk1"/>
              </a:solidFill>
              <a:effectLst/>
              <a:latin typeface="Arial   "/>
              <a:ea typeface="+mn-ea"/>
              <a:cs typeface="+mn-cs"/>
            </a:rPr>
            <a:t> personas manifiestan que la iluminación es adecuada, mientras que 7 No lo manifiestan. </a:t>
          </a:r>
          <a:endParaRPr lang="en-US" sz="1200">
            <a:effectLst/>
            <a:latin typeface="Arial   "/>
          </a:endParaRPr>
        </a:p>
        <a:p>
          <a:endParaRPr lang="en-US" sz="1100"/>
        </a:p>
      </xdr:txBody>
    </xdr:sp>
    <xdr:clientData/>
  </xdr:twoCellAnchor>
  <xdr:twoCellAnchor>
    <xdr:from>
      <xdr:col>35</xdr:col>
      <xdr:colOff>313556</xdr:colOff>
      <xdr:row>28</xdr:row>
      <xdr:rowOff>20616</xdr:rowOff>
    </xdr:from>
    <xdr:to>
      <xdr:col>39</xdr:col>
      <xdr:colOff>564214</xdr:colOff>
      <xdr:row>32</xdr:row>
      <xdr:rowOff>36627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30558882" y="6632899"/>
          <a:ext cx="3287615" cy="23351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CONCLUSIONES:</a:t>
          </a:r>
          <a:r>
            <a:rPr lang="en-US" sz="1100" baseline="0"/>
            <a:t> A 5 personas les genera molestias la temperatura del sitio de trabajo, mientras que a 8 no.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</xdr:txBody>
    </xdr:sp>
    <xdr:clientData/>
  </xdr:twoCellAnchor>
  <xdr:twoCellAnchor>
    <xdr:from>
      <xdr:col>45</xdr:col>
      <xdr:colOff>289892</xdr:colOff>
      <xdr:row>28</xdr:row>
      <xdr:rowOff>0</xdr:rowOff>
    </xdr:from>
    <xdr:to>
      <xdr:col>49</xdr:col>
      <xdr:colOff>540550</xdr:colOff>
      <xdr:row>32</xdr:row>
      <xdr:rowOff>16011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38127609" y="6612283"/>
          <a:ext cx="3287615" cy="23351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CONCLUSIONES: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 b="0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11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 personas manifiestan que hay presencia de polvo en el ambiente, mientras que 2 No</a:t>
          </a:r>
          <a:endParaRPr lang="en-US" sz="1100"/>
        </a:p>
      </xdr:txBody>
    </xdr:sp>
    <xdr:clientData/>
  </xdr:twoCellAnchor>
  <xdr:twoCellAnchor>
    <xdr:from>
      <xdr:col>7</xdr:col>
      <xdr:colOff>442577</xdr:colOff>
      <xdr:row>32</xdr:row>
      <xdr:rowOff>76969</xdr:rowOff>
    </xdr:from>
    <xdr:to>
      <xdr:col>11</xdr:col>
      <xdr:colOff>693235</xdr:colOff>
      <xdr:row>36</xdr:row>
      <xdr:rowOff>332255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9486516" y="8966969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CONCLUSIONES: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personas consideran que los pisos, techos, paredes y escaleras representan un riesgo para su salud y 5 personas No lo consideran.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16</xdr:col>
      <xdr:colOff>402552</xdr:colOff>
      <xdr:row>32</xdr:row>
      <xdr:rowOff>56188</xdr:rowOff>
    </xdr:from>
    <xdr:to>
      <xdr:col>20</xdr:col>
      <xdr:colOff>653210</xdr:colOff>
      <xdr:row>36</xdr:row>
      <xdr:rowOff>311474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16373764" y="8946188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CONCLUSIONES: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 personas identifican que, si existen cables sin entubar, empalmes defectuosos, tomas eléctricas sobre cargadas y/o transformadores defectuosos, mientras que 2 personas no lo identifica.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25</xdr:col>
      <xdr:colOff>497224</xdr:colOff>
      <xdr:row>32</xdr:row>
      <xdr:rowOff>35406</xdr:rowOff>
    </xdr:from>
    <xdr:to>
      <xdr:col>29</xdr:col>
      <xdr:colOff>747882</xdr:colOff>
      <xdr:row>36</xdr:row>
      <xdr:rowOff>290692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23395709" y="8925406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CONCLUSIONES: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10 personas No manifiestan que los sitios de almacenamiento sean suficientes y/o posean espacio adecuado y que los insumos y/o productos se encuentre bien apilados, mientras que 3 personas Si lo consideran</a:t>
          </a:r>
          <a:endParaRPr lang="en-US" sz="1100"/>
        </a:p>
      </xdr:txBody>
    </xdr:sp>
    <xdr:clientData/>
  </xdr:twoCellAnchor>
  <xdr:twoCellAnchor>
    <xdr:from>
      <xdr:col>35</xdr:col>
      <xdr:colOff>360987</xdr:colOff>
      <xdr:row>32</xdr:row>
      <xdr:rowOff>110837</xdr:rowOff>
    </xdr:from>
    <xdr:to>
      <xdr:col>39</xdr:col>
      <xdr:colOff>611646</xdr:colOff>
      <xdr:row>36</xdr:row>
      <xdr:rowOff>366123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30956442" y="9000837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CONCLUSIONES:</a:t>
          </a:r>
          <a:r>
            <a:rPr lang="es-E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 personas consideran que las tareas que desarrollan les exige realizar movimientos repetitivos, mientras que 1 no lo considera.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45</xdr:col>
      <xdr:colOff>224751</xdr:colOff>
      <xdr:row>32</xdr:row>
      <xdr:rowOff>147783</xdr:rowOff>
    </xdr:from>
    <xdr:to>
      <xdr:col>49</xdr:col>
      <xdr:colOff>475409</xdr:colOff>
      <xdr:row>36</xdr:row>
      <xdr:rowOff>403069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38517175" y="9037783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 personas manifiestan que si permanecen en una misma posición (sentada o de pie) durante más del 60% de la jornada de trabajo, mientras que 2 No lo manifiestan así.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7</xdr:col>
      <xdr:colOff>423333</xdr:colOff>
      <xdr:row>36</xdr:row>
      <xdr:rowOff>442575</xdr:rowOff>
    </xdr:from>
    <xdr:to>
      <xdr:col>11</xdr:col>
      <xdr:colOff>673991</xdr:colOff>
      <xdr:row>41</xdr:row>
      <xdr:rowOff>178316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9467272" y="11410757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effectLst/>
              <a:latin typeface="Arial" panose="020B0604020202020204" pitchFamily="34" charset="0"/>
              <a:ea typeface="Calibri" panose="020F0502020204030204" pitchFamily="34" charset="0"/>
            </a:rPr>
            <a:t>CONCLUSIONES:</a:t>
          </a:r>
          <a:r>
            <a:rPr lang="es-ES" sz="1100" b="1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El 100% de la población manifiesta que la altura de la superficie de trabajo es la adecuada a su estatura; incluida la silla y labor que realiza</a:t>
          </a:r>
          <a:endParaRPr lang="en-US" sz="1100"/>
        </a:p>
      </xdr:txBody>
    </xdr:sp>
    <xdr:clientData/>
  </xdr:twoCellAnchor>
  <xdr:twoCellAnchor>
    <xdr:from>
      <xdr:col>16</xdr:col>
      <xdr:colOff>441035</xdr:colOff>
      <xdr:row>36</xdr:row>
      <xdr:rowOff>383308</xdr:rowOff>
    </xdr:from>
    <xdr:to>
      <xdr:col>20</xdr:col>
      <xdr:colOff>691693</xdr:colOff>
      <xdr:row>41</xdr:row>
      <xdr:rowOff>119049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6412247" y="11351490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CONCLUSIONES: </a:t>
          </a:r>
          <a:r>
            <a:rPr lang="es-ES" sz="1100">
              <a:effectLst/>
              <a:latin typeface="Arial" panose="020B0604020202020204" pitchFamily="34" charset="0"/>
              <a:ea typeface="Calibri" panose="020F0502020204030204" pitchFamily="34" charset="0"/>
            </a:rPr>
            <a:t>El 90% de la población manifiesta que tiene espacio suficiente para varias la posición de las piernas y rodillas.,</a:t>
          </a:r>
          <a:r>
            <a:rPr lang="es-ES" sz="1100" baseline="0">
              <a:effectLst/>
              <a:latin typeface="Arial" panose="020B0604020202020204" pitchFamily="34" charset="0"/>
              <a:ea typeface="Calibri" panose="020F0502020204030204" pitchFamily="34" charset="0"/>
            </a:rPr>
            <a:t> mientras que el 10% no.</a:t>
          </a:r>
          <a:endParaRPr lang="en-US" sz="1100" b="1"/>
        </a:p>
      </xdr:txBody>
    </xdr:sp>
    <xdr:clientData/>
  </xdr:twoCellAnchor>
  <xdr:twoCellAnchor>
    <xdr:from>
      <xdr:col>25</xdr:col>
      <xdr:colOff>477980</xdr:colOff>
      <xdr:row>36</xdr:row>
      <xdr:rowOff>381768</xdr:rowOff>
    </xdr:from>
    <xdr:to>
      <xdr:col>29</xdr:col>
      <xdr:colOff>728638</xdr:colOff>
      <xdr:row>41</xdr:row>
      <xdr:rowOff>117509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23376465" y="11349950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90% de la población manifiesta que la silla es cómoda y permite ajustarla a su medida,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mientras que el 10% no lo considera.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35</xdr:col>
      <xdr:colOff>303259</xdr:colOff>
      <xdr:row>36</xdr:row>
      <xdr:rowOff>437956</xdr:rowOff>
    </xdr:from>
    <xdr:to>
      <xdr:col>39</xdr:col>
      <xdr:colOff>553918</xdr:colOff>
      <xdr:row>41</xdr:row>
      <xdr:rowOff>173697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30898714" y="11406138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90% de la población manifiesta que en general dispone de espacio suficiente para realizar el trabajo en amplitud,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mientras que el 10% no lo considera.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45</xdr:col>
      <xdr:colOff>250151</xdr:colOff>
      <xdr:row>36</xdr:row>
      <xdr:rowOff>481060</xdr:rowOff>
    </xdr:from>
    <xdr:to>
      <xdr:col>49</xdr:col>
      <xdr:colOff>500809</xdr:colOff>
      <xdr:row>41</xdr:row>
      <xdr:rowOff>216801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38542575" y="11449242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CONCLUSIONES</a:t>
          </a:r>
          <a:r>
            <a:rPr lang="en-US" sz="1100" b="1" baseline="0"/>
            <a:t>: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 personas manifiestan que el trabajo Si les exige mantenerse frente a la pantalla del computador más del 50% de la jornada, mientras que a 6 personas No.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25</xdr:col>
      <xdr:colOff>538788</xdr:colOff>
      <xdr:row>56</xdr:row>
      <xdr:rowOff>365605</xdr:rowOff>
    </xdr:from>
    <xdr:to>
      <xdr:col>30</xdr:col>
      <xdr:colOff>19749</xdr:colOff>
      <xdr:row>62</xdr:row>
      <xdr:rowOff>96212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23437273" y="21724696"/>
          <a:ext cx="3329446" cy="2847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n-US" sz="1100" b="0" baseline="0"/>
            <a:t>El 7% de los trabajadores manifiesta que su labor le genera riesgos mecanicos, mientras que el 6% no lo considera. </a:t>
          </a:r>
          <a:endParaRPr lang="en-US" sz="1100" b="1"/>
        </a:p>
      </xdr:txBody>
    </xdr:sp>
    <xdr:clientData/>
  </xdr:twoCellAnchor>
  <xdr:twoCellAnchor>
    <xdr:from>
      <xdr:col>16</xdr:col>
      <xdr:colOff>558031</xdr:colOff>
      <xdr:row>56</xdr:row>
      <xdr:rowOff>346363</xdr:rowOff>
    </xdr:from>
    <xdr:to>
      <xdr:col>20</xdr:col>
      <xdr:colOff>692727</xdr:colOff>
      <xdr:row>62</xdr:row>
      <xdr:rowOff>288636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6529243" y="21705454"/>
          <a:ext cx="3213484" cy="30595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n-US" sz="1100" b="0" baseline="0"/>
            <a:t>El 6% de los trabajadores dicen que de las máquinas y herramientas que se utilizan en las labores producen vibracion, mientras que el 7% por ciento no manifiestan que usan maquinas y herramientas que les produzca vibración.</a:t>
          </a:r>
          <a:endParaRPr lang="en-US" sz="1100" b="1"/>
        </a:p>
      </xdr:txBody>
    </xdr:sp>
    <xdr:clientData/>
  </xdr:twoCellAnchor>
  <xdr:twoCellAnchor>
    <xdr:from>
      <xdr:col>7</xdr:col>
      <xdr:colOff>423333</xdr:colOff>
      <xdr:row>56</xdr:row>
      <xdr:rowOff>384848</xdr:rowOff>
    </xdr:from>
    <xdr:to>
      <xdr:col>11</xdr:col>
      <xdr:colOff>673991</xdr:colOff>
      <xdr:row>62</xdr:row>
      <xdr:rowOff>250151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9467272" y="21743939"/>
          <a:ext cx="3329446" cy="2982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CONCLUSIONES: </a:t>
          </a:r>
          <a:r>
            <a:rPr lang="en-US" sz="1100" b="0"/>
            <a:t>El</a:t>
          </a:r>
          <a:r>
            <a:rPr lang="en-US" sz="1100" b="0" baseline="0"/>
            <a:t> 12% no manipula productos o desechos de origen animal o vegetal, mientras que un 1% si. 		</a:t>
          </a:r>
          <a:endParaRPr lang="en-US" sz="1100" b="1"/>
        </a:p>
      </xdr:txBody>
    </xdr:sp>
    <xdr:clientData/>
  </xdr:twoCellAnchor>
  <xdr:twoCellAnchor>
    <xdr:from>
      <xdr:col>7</xdr:col>
      <xdr:colOff>442576</xdr:colOff>
      <xdr:row>51</xdr:row>
      <xdr:rowOff>96212</xdr:rowOff>
    </xdr:from>
    <xdr:to>
      <xdr:col>11</xdr:col>
      <xdr:colOff>693234</xdr:colOff>
      <xdr:row>56</xdr:row>
      <xdr:rowOff>250151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9486515" y="18857576"/>
          <a:ext cx="3329446" cy="27516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n-US" sz="1100" b="0" baseline="0"/>
            <a:t>Un 6% manifiesta que las tareas que realiza le producen "sensacion de peligrosidad" mientras que un 7% manifesto que NO.</a:t>
          </a:r>
          <a:endParaRPr lang="en-US" sz="1100" b="1"/>
        </a:p>
      </xdr:txBody>
    </xdr:sp>
    <xdr:clientData/>
  </xdr:twoCellAnchor>
  <xdr:twoCellAnchor>
    <xdr:from>
      <xdr:col>16</xdr:col>
      <xdr:colOff>404091</xdr:colOff>
      <xdr:row>51</xdr:row>
      <xdr:rowOff>96212</xdr:rowOff>
    </xdr:from>
    <xdr:to>
      <xdr:col>20</xdr:col>
      <xdr:colOff>654749</xdr:colOff>
      <xdr:row>56</xdr:row>
      <xdr:rowOff>230909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16375303" y="18857576"/>
          <a:ext cx="3329446" cy="273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CONCLUSIONES: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 7% manifiesta que la labor si le exige levantar y transportar cargas, mientras que un 6% No se lo exige. </a:t>
          </a:r>
          <a:endParaRPr lang="en-US" sz="1100"/>
        </a:p>
      </xdr:txBody>
    </xdr:sp>
    <xdr:clientData/>
  </xdr:twoCellAnchor>
  <xdr:twoCellAnchor>
    <xdr:from>
      <xdr:col>25</xdr:col>
      <xdr:colOff>538788</xdr:colOff>
      <xdr:row>51</xdr:row>
      <xdr:rowOff>134696</xdr:rowOff>
    </xdr:from>
    <xdr:to>
      <xdr:col>30</xdr:col>
      <xdr:colOff>19749</xdr:colOff>
      <xdr:row>56</xdr:row>
      <xdr:rowOff>269394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23437273" y="18896060"/>
          <a:ext cx="3329446" cy="273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CONCLUSIONES: </a:t>
          </a:r>
          <a:r>
            <a:rPr lang="en-US" sz="1100" b="0"/>
            <a:t>El 8% manifiesta</a:t>
          </a:r>
          <a:r>
            <a:rPr lang="en-US" sz="1100" b="0" baseline="0"/>
            <a:t> que si cuenta con ayudas mecanicas para realizar la labor, mientras que el 5% dice lo contrario.</a:t>
          </a:r>
          <a:endParaRPr lang="en-US" sz="1100" b="1"/>
        </a:p>
      </xdr:txBody>
    </xdr:sp>
    <xdr:clientData/>
  </xdr:twoCellAnchor>
  <xdr:twoCellAnchor>
    <xdr:from>
      <xdr:col>35</xdr:col>
      <xdr:colOff>153937</xdr:colOff>
      <xdr:row>51</xdr:row>
      <xdr:rowOff>38483</xdr:rowOff>
    </xdr:from>
    <xdr:to>
      <xdr:col>39</xdr:col>
      <xdr:colOff>634999</xdr:colOff>
      <xdr:row>56</xdr:row>
      <xdr:rowOff>173181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30749392" y="18799847"/>
          <a:ext cx="3559849" cy="273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n-US" sz="1100" b="0" baseline="0"/>
            <a:t>EL 10% de los trabjadores manifiestan la necesidad de usar elementos de proteccion personal, mientras que el 3% no lo considera necesario. </a:t>
          </a:r>
          <a:endParaRPr lang="en-US" sz="1100" b="1"/>
        </a:p>
      </xdr:txBody>
    </xdr:sp>
    <xdr:clientData/>
  </xdr:twoCellAnchor>
  <xdr:twoCellAnchor>
    <xdr:from>
      <xdr:col>35</xdr:col>
      <xdr:colOff>153936</xdr:colOff>
      <xdr:row>46</xdr:row>
      <xdr:rowOff>269393</xdr:rowOff>
    </xdr:from>
    <xdr:to>
      <xdr:col>39</xdr:col>
      <xdr:colOff>654242</xdr:colOff>
      <xdr:row>51</xdr:row>
      <xdr:rowOff>5133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30749391" y="16433029"/>
          <a:ext cx="3579093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12% de los trabajadores manifiesta que puede abandonar el trabajo por unos minutos sin necesidad que lo sustituyan, mientras que un 15% manifiesta no poder hacerlo. 		</a:t>
          </a:r>
          <a:endParaRPr lang="en-US" sz="1100"/>
        </a:p>
      </xdr:txBody>
    </xdr:sp>
    <xdr:clientData/>
  </xdr:twoCellAnchor>
  <xdr:twoCellAnchor>
    <xdr:from>
      <xdr:col>25</xdr:col>
      <xdr:colOff>519546</xdr:colOff>
      <xdr:row>46</xdr:row>
      <xdr:rowOff>192424</xdr:rowOff>
    </xdr:from>
    <xdr:to>
      <xdr:col>30</xdr:col>
      <xdr:colOff>507</xdr:colOff>
      <xdr:row>50</xdr:row>
      <xdr:rowOff>447710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3418031" y="16356060"/>
          <a:ext cx="3329446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Toda la poblacion afirma que en el sitio de trabajo existe riesgo de incendio o explosión. </a:t>
          </a:r>
          <a:endParaRPr lang="en-US" sz="1100"/>
        </a:p>
      </xdr:txBody>
    </xdr:sp>
    <xdr:clientData/>
  </xdr:twoCellAnchor>
  <xdr:twoCellAnchor>
    <xdr:from>
      <xdr:col>16</xdr:col>
      <xdr:colOff>423333</xdr:colOff>
      <xdr:row>46</xdr:row>
      <xdr:rowOff>153940</xdr:rowOff>
    </xdr:from>
    <xdr:to>
      <xdr:col>20</xdr:col>
      <xdr:colOff>673991</xdr:colOff>
      <xdr:row>51</xdr:row>
      <xdr:rowOff>19242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16394545" y="16317576"/>
          <a:ext cx="3329446" cy="2463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 personas afirman que el ruido ambiental si le permite mantener una conversacion con los compañeros sin elevar el tono de voz, mientras que 1 no.	</a:t>
          </a:r>
          <a:endParaRPr lang="en-US" sz="1100"/>
        </a:p>
      </xdr:txBody>
    </xdr:sp>
    <xdr:clientData/>
  </xdr:twoCellAnchor>
  <xdr:twoCellAnchor>
    <xdr:from>
      <xdr:col>7</xdr:col>
      <xdr:colOff>211666</xdr:colOff>
      <xdr:row>46</xdr:row>
      <xdr:rowOff>134697</xdr:rowOff>
    </xdr:from>
    <xdr:to>
      <xdr:col>11</xdr:col>
      <xdr:colOff>692727</xdr:colOff>
      <xdr:row>50</xdr:row>
      <xdr:rowOff>389983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9255605" y="16298333"/>
          <a:ext cx="3559849" cy="23334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CONCLUSION:</a:t>
          </a:r>
          <a:r>
            <a:rPr lang="en-US" sz="1100" b="1" baseline="0"/>
            <a:t> </a:t>
          </a:r>
          <a:r>
            <a:rPr lang="en-US" sz="1100" b="0" baseline="0"/>
            <a:t> El 90% afirma que existe buen manejo de basuras y desechos , mientras que el 10% no.						</a:t>
          </a:r>
          <a:endParaRPr lang="en-US" sz="1100" b="1"/>
        </a:p>
      </xdr:txBody>
    </xdr:sp>
    <xdr:clientData/>
  </xdr:twoCellAnchor>
  <xdr:twoCellAnchor>
    <xdr:from>
      <xdr:col>7</xdr:col>
      <xdr:colOff>303375</xdr:colOff>
      <xdr:row>41</xdr:row>
      <xdr:rowOff>307469</xdr:rowOff>
    </xdr:from>
    <xdr:to>
      <xdr:col>11</xdr:col>
      <xdr:colOff>662022</xdr:colOff>
      <xdr:row>46</xdr:row>
      <xdr:rowOff>26834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9287949" y="14182895"/>
          <a:ext cx="3385030" cy="2353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90% de la población manifiesta que al final de jornada laboral el cansancio que se siente podría calificarse de “normal” , mientras que el 10% no.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16</xdr:col>
      <xdr:colOff>472872</xdr:colOff>
      <xdr:row>41</xdr:row>
      <xdr:rowOff>229681</xdr:rowOff>
    </xdr:from>
    <xdr:to>
      <xdr:col>20</xdr:col>
      <xdr:colOff>723530</xdr:colOff>
      <xdr:row>45</xdr:row>
      <xdr:rowOff>475961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16266808" y="14105107"/>
          <a:ext cx="3277041" cy="2353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s-E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personas consideran adecuada la distribución del horario de trabajo, de los turnos, de las horas de descanso, horas extras y pausas, mientras que 4 No lo consideran.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25</xdr:col>
      <xdr:colOff>553936</xdr:colOff>
      <xdr:row>41</xdr:row>
      <xdr:rowOff>256701</xdr:rowOff>
    </xdr:from>
    <xdr:to>
      <xdr:col>30</xdr:col>
      <xdr:colOff>47998</xdr:colOff>
      <xdr:row>46</xdr:row>
      <xdr:rowOff>27021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23157234" y="14132127"/>
          <a:ext cx="3277041" cy="24048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CONCLUSIONES: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100% de la población manifiesta que el trabajo que desempeña le permite aplicar sus habilidades y conocimientos.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35</xdr:col>
      <xdr:colOff>243192</xdr:colOff>
      <xdr:row>41</xdr:row>
      <xdr:rowOff>256701</xdr:rowOff>
    </xdr:from>
    <xdr:to>
      <xdr:col>39</xdr:col>
      <xdr:colOff>621490</xdr:colOff>
      <xdr:row>46</xdr:row>
      <xdr:rowOff>175638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30412447" y="14132127"/>
          <a:ext cx="3404681" cy="25535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100% de la población manifiesta que su jefe le pide opinión sobre asuntos relacionados con su trabajo.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45</xdr:col>
      <xdr:colOff>324139</xdr:colOff>
      <xdr:row>41</xdr:row>
      <xdr:rowOff>300393</xdr:rowOff>
    </xdr:from>
    <xdr:to>
      <xdr:col>49</xdr:col>
      <xdr:colOff>574797</xdr:colOff>
      <xdr:row>46</xdr:row>
      <xdr:rowOff>19758</xdr:rowOff>
    </xdr:to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38059352" y="14175819"/>
          <a:ext cx="3277041" cy="2353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CONCLUSIONES:</a:t>
          </a:r>
          <a:r>
            <a:rPr lang="en-US" sz="1100" b="1" baseline="0"/>
            <a:t> 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100% de la población manifiesta cuenta con agua potable.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/>
        </a:p>
      </xdr:txBody>
    </xdr:sp>
    <xdr:clientData/>
  </xdr:twoCellAnchor>
  <xdr:twoCellAnchor>
    <xdr:from>
      <xdr:col>45</xdr:col>
      <xdr:colOff>302381</xdr:colOff>
      <xdr:row>46</xdr:row>
      <xdr:rowOff>75594</xdr:rowOff>
    </xdr:from>
    <xdr:to>
      <xdr:col>49</xdr:col>
      <xdr:colOff>553039</xdr:colOff>
      <xdr:row>50</xdr:row>
      <xdr:rowOff>453571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37994167" y="16252975"/>
          <a:ext cx="3274467" cy="24341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CONCLUSION:</a:t>
          </a:r>
          <a:r>
            <a:rPr lang="en-US" sz="1100" b="1" baseline="0"/>
            <a:t> </a:t>
          </a:r>
          <a:r>
            <a:rPr lang="en-US" sz="1100" b="0" baseline="0"/>
            <a:t>el 12% no realiza el trabajo al aire libre, mientras que un 1% si lo realiza. </a:t>
          </a:r>
          <a:endParaRPr lang="en-US" sz="1100" b="1"/>
        </a:p>
      </xdr:txBody>
    </xdr:sp>
    <xdr:clientData/>
  </xdr:twoCellAnchor>
  <xdr:twoCellAnchor>
    <xdr:from>
      <xdr:col>45</xdr:col>
      <xdr:colOff>393094</xdr:colOff>
      <xdr:row>51</xdr:row>
      <xdr:rowOff>30238</xdr:rowOff>
    </xdr:from>
    <xdr:to>
      <xdr:col>49</xdr:col>
      <xdr:colOff>643753</xdr:colOff>
      <xdr:row>56</xdr:row>
      <xdr:rowOff>166310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38084880" y="18777857"/>
          <a:ext cx="3274468" cy="2706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CONCLUSIONES: </a:t>
          </a:r>
          <a:r>
            <a:rPr lang="en-US" sz="1100" b="0"/>
            <a:t>el 7% de</a:t>
          </a:r>
          <a:r>
            <a:rPr lang="en-US" sz="1100" b="0" baseline="0"/>
            <a:t> los trabajadores esta en contacto con productos químicos o los manipula, mientras que el 6% No. </a:t>
          </a:r>
          <a:endParaRPr lang="en-US" sz="1100" b="1"/>
        </a:p>
      </xdr:txBody>
    </xdr:sp>
    <xdr:clientData/>
  </xdr:twoCellAnchor>
  <xdr:twoCellAnchor>
    <xdr:from>
      <xdr:col>35</xdr:col>
      <xdr:colOff>257023</xdr:colOff>
      <xdr:row>56</xdr:row>
      <xdr:rowOff>317500</xdr:rowOff>
    </xdr:from>
    <xdr:to>
      <xdr:col>39</xdr:col>
      <xdr:colOff>604761</xdr:colOff>
      <xdr:row>61</xdr:row>
      <xdr:rowOff>453572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30389285" y="21635357"/>
          <a:ext cx="3371547" cy="2706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CONCLUSIONES: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7% de los trabajadores manifiesta que si tiene mandos dispuestos en maquinas y herramientas, mientras que el 6% no lo considera.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A2" sqref="A2:D14"/>
    </sheetView>
  </sheetViews>
  <sheetFormatPr baseColWidth="10" defaultRowHeight="15"/>
  <cols>
    <col min="1" max="1" width="17.5703125" bestFit="1" customWidth="1"/>
    <col min="2" max="2" width="17.140625" bestFit="1" customWidth="1"/>
    <col min="3" max="3" width="12.42578125" bestFit="1" customWidth="1"/>
    <col min="4" max="4" width="20.85546875" bestFit="1" customWidth="1"/>
  </cols>
  <sheetData>
    <row r="1" spans="1:4">
      <c r="A1" s="55" t="s">
        <v>155</v>
      </c>
      <c r="B1" s="56" t="s">
        <v>156</v>
      </c>
      <c r="C1" s="56" t="s">
        <v>157</v>
      </c>
      <c r="D1" s="56" t="s">
        <v>158</v>
      </c>
    </row>
    <row r="2" spans="1:4">
      <c r="A2" s="57"/>
      <c r="B2" s="58"/>
      <c r="C2" s="59"/>
      <c r="D2" s="58"/>
    </row>
    <row r="3" spans="1:4">
      <c r="A3" s="57"/>
      <c r="B3" s="58"/>
      <c r="C3" s="59"/>
      <c r="D3" s="60"/>
    </row>
    <row r="4" spans="1:4">
      <c r="A4" s="57"/>
      <c r="B4" s="58"/>
      <c r="C4" s="59"/>
      <c r="D4" s="60"/>
    </row>
    <row r="5" spans="1:4">
      <c r="A5" s="57"/>
      <c r="B5" s="58"/>
      <c r="C5" s="59"/>
      <c r="D5" s="58"/>
    </row>
    <row r="6" spans="1:4">
      <c r="A6" s="57"/>
      <c r="B6" s="58"/>
      <c r="C6" s="59"/>
      <c r="D6" s="58"/>
    </row>
    <row r="7" spans="1:4">
      <c r="A7" s="57"/>
      <c r="B7" s="60"/>
      <c r="C7" s="59"/>
      <c r="D7" s="58"/>
    </row>
    <row r="8" spans="1:4">
      <c r="A8" s="57"/>
      <c r="B8" s="58"/>
      <c r="C8" s="58"/>
      <c r="D8" s="58"/>
    </row>
    <row r="9" spans="1:4">
      <c r="A9" s="57"/>
      <c r="B9" s="58"/>
      <c r="C9" s="59"/>
      <c r="D9" s="58"/>
    </row>
    <row r="10" spans="1:4">
      <c r="A10" s="57"/>
      <c r="B10" s="58"/>
      <c r="C10" s="58"/>
      <c r="D10" s="58"/>
    </row>
    <row r="11" spans="1:4">
      <c r="A11" s="57"/>
      <c r="B11" s="58"/>
      <c r="C11" s="58"/>
      <c r="D11" s="58"/>
    </row>
    <row r="12" spans="1:4">
      <c r="A12" s="61"/>
      <c r="B12" s="60"/>
      <c r="C12" s="60"/>
      <c r="D12" s="60"/>
    </row>
    <row r="13" spans="1:4">
      <c r="A13" s="61"/>
      <c r="B13" s="60"/>
      <c r="C13" s="60"/>
      <c r="D13" s="60"/>
    </row>
    <row r="14" spans="1:4">
      <c r="A14" s="57"/>
      <c r="B14" s="58"/>
      <c r="C14" s="58"/>
      <c r="D14" s="58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49"/>
  <sheetViews>
    <sheetView tabSelected="1" topLeftCell="AX1" zoomScale="118" zoomScaleNormal="118" workbookViewId="0">
      <selection activeCell="AY1" sqref="AY1"/>
    </sheetView>
  </sheetViews>
  <sheetFormatPr baseColWidth="10" defaultRowHeight="15"/>
  <cols>
    <col min="1" max="1" width="2.7109375" customWidth="1"/>
    <col min="2" max="2" width="16.85546875" customWidth="1"/>
    <col min="3" max="3" width="5.140625" style="1" customWidth="1"/>
    <col min="4" max="4" width="13.42578125" customWidth="1"/>
    <col min="5" max="5" width="21" bestFit="1" customWidth="1"/>
    <col min="7" max="7" width="4" style="11" customWidth="1"/>
    <col min="8" max="8" width="3" bestFit="1" customWidth="1"/>
    <col min="10" max="10" width="5.140625" customWidth="1"/>
    <col min="12" max="13" width="21" bestFit="1" customWidth="1"/>
    <col min="14" max="14" width="11" customWidth="1"/>
    <col min="15" max="15" width="4" style="11" customWidth="1"/>
    <col min="16" max="16" width="3.140625" bestFit="1" customWidth="1"/>
    <col min="17" max="17" width="20.140625" customWidth="1"/>
    <col min="18" max="18" width="4.5703125" customWidth="1"/>
    <col min="19" max="19" width="8.140625" customWidth="1"/>
    <col min="22" max="22" width="22" customWidth="1"/>
    <col min="23" max="23" width="4.140625" style="11" customWidth="1"/>
    <col min="24" max="24" width="4.28515625" customWidth="1"/>
    <col min="25" max="25" width="18.42578125" bestFit="1" customWidth="1"/>
    <col min="26" max="26" width="5.42578125" customWidth="1"/>
    <col min="27" max="27" width="6.140625" customWidth="1"/>
    <col min="32" max="32" width="14.85546875" customWidth="1"/>
    <col min="33" max="33" width="5.5703125" customWidth="1"/>
    <col min="34" max="34" width="4.140625" style="11" customWidth="1"/>
    <col min="35" max="35" width="3.140625" bestFit="1" customWidth="1"/>
    <col min="36" max="36" width="23.42578125" customWidth="1"/>
    <col min="37" max="37" width="3.28515625" bestFit="1" customWidth="1"/>
    <col min="38" max="38" width="6.85546875" customWidth="1"/>
    <col min="42" max="42" width="4.140625" style="11" customWidth="1"/>
    <col min="43" max="43" width="3.140625" bestFit="1" customWidth="1"/>
    <col min="44" max="44" width="29.42578125" customWidth="1"/>
    <col min="45" max="45" width="4.5703125" customWidth="1"/>
    <col min="46" max="46" width="5.85546875" style="31" bestFit="1" customWidth="1"/>
    <col min="48" max="48" width="16.42578125" customWidth="1"/>
    <col min="49" max="49" width="3.7109375" style="11" customWidth="1"/>
    <col min="50" max="50" width="3" bestFit="1" customWidth="1"/>
    <col min="51" max="51" width="26.140625" customWidth="1"/>
    <col min="52" max="52" width="3.42578125" customWidth="1"/>
    <col min="53" max="53" width="5.85546875" bestFit="1" customWidth="1"/>
    <col min="57" max="57" width="17.85546875" customWidth="1"/>
    <col min="58" max="58" width="4.5703125" style="11" customWidth="1"/>
    <col min="59" max="59" width="3" bestFit="1" customWidth="1"/>
    <col min="60" max="60" width="10.85546875" bestFit="1" customWidth="1"/>
    <col min="61" max="61" width="3.28515625" bestFit="1" customWidth="1"/>
    <col min="62" max="62" width="5.85546875" bestFit="1" customWidth="1"/>
    <col min="64" max="64" width="26.140625" customWidth="1"/>
    <col min="65" max="65" width="4" style="11" customWidth="1"/>
  </cols>
  <sheetData>
    <row r="1" spans="1:64">
      <c r="AY1" s="119" t="s">
        <v>159</v>
      </c>
    </row>
    <row r="2" spans="1:64" ht="15.75" thickBot="1">
      <c r="B2" t="s">
        <v>9</v>
      </c>
      <c r="C2" s="117">
        <v>13</v>
      </c>
      <c r="E2" s="80"/>
      <c r="F2" s="80"/>
      <c r="I2" t="s">
        <v>9</v>
      </c>
      <c r="J2" s="1">
        <v>13</v>
      </c>
      <c r="L2" s="81"/>
      <c r="M2" s="81"/>
      <c r="N2" s="81"/>
      <c r="Q2" t="s">
        <v>9</v>
      </c>
      <c r="R2" s="1">
        <v>13</v>
      </c>
      <c r="Y2" t="s">
        <v>9</v>
      </c>
      <c r="Z2" s="1">
        <v>13</v>
      </c>
      <c r="AB2" s="82"/>
      <c r="AC2" s="82"/>
      <c r="AD2" s="82"/>
      <c r="AE2" s="82"/>
      <c r="AF2" s="82"/>
      <c r="AG2" s="82"/>
      <c r="AJ2" t="s">
        <v>9</v>
      </c>
      <c r="AK2" s="1">
        <v>13</v>
      </c>
      <c r="AM2" s="93"/>
      <c r="AN2" s="93"/>
      <c r="AO2" s="93"/>
      <c r="AR2" t="s">
        <v>9</v>
      </c>
      <c r="AS2">
        <v>13</v>
      </c>
      <c r="AU2" s="82"/>
      <c r="AV2" s="82"/>
      <c r="AY2" t="s">
        <v>9</v>
      </c>
      <c r="AZ2">
        <v>13</v>
      </c>
      <c r="BH2" t="s">
        <v>9</v>
      </c>
      <c r="BI2">
        <v>13</v>
      </c>
      <c r="BL2" s="80"/>
    </row>
    <row r="3" spans="1:64">
      <c r="A3" s="64" t="s">
        <v>0</v>
      </c>
      <c r="B3" s="65"/>
      <c r="C3" s="65"/>
      <c r="D3" s="49" t="s">
        <v>10</v>
      </c>
      <c r="E3" s="80"/>
      <c r="F3" s="80"/>
      <c r="G3" s="12"/>
      <c r="H3" s="89" t="s">
        <v>154</v>
      </c>
      <c r="I3" s="90"/>
      <c r="J3" s="90"/>
      <c r="K3" s="49" t="s">
        <v>10</v>
      </c>
      <c r="L3" s="81"/>
      <c r="M3" s="81"/>
      <c r="N3" s="81"/>
      <c r="P3" s="64" t="s">
        <v>24</v>
      </c>
      <c r="Q3" s="65"/>
      <c r="R3" s="72"/>
      <c r="S3" s="2"/>
      <c r="X3" s="64" t="s">
        <v>37</v>
      </c>
      <c r="Y3" s="65"/>
      <c r="Z3" s="72"/>
      <c r="AB3" s="82"/>
      <c r="AC3" s="82"/>
      <c r="AD3" s="82"/>
      <c r="AE3" s="82"/>
      <c r="AF3" s="82"/>
      <c r="AG3" s="82"/>
      <c r="AI3" s="64" t="s">
        <v>53</v>
      </c>
      <c r="AJ3" s="65"/>
      <c r="AK3" s="72"/>
      <c r="AM3" s="93"/>
      <c r="AN3" s="93"/>
      <c r="AO3" s="93"/>
      <c r="AQ3" s="63" t="s">
        <v>61</v>
      </c>
      <c r="AR3" s="63"/>
      <c r="AS3" s="63"/>
      <c r="AU3" s="82"/>
      <c r="AV3" s="82"/>
      <c r="AX3" s="62" t="s">
        <v>73</v>
      </c>
      <c r="AY3" s="62"/>
      <c r="AZ3" s="62"/>
      <c r="BG3" s="62" t="s">
        <v>88</v>
      </c>
      <c r="BH3" s="62"/>
      <c r="BI3" s="62"/>
      <c r="BJ3" s="4">
        <f>SUM(BI4/BI2)</f>
        <v>7.6923076923076927E-2</v>
      </c>
      <c r="BL3" s="80"/>
    </row>
    <row r="4" spans="1:64">
      <c r="A4" s="5" t="s">
        <v>1</v>
      </c>
      <c r="B4" s="2" t="s">
        <v>2</v>
      </c>
      <c r="C4" s="118">
        <v>3</v>
      </c>
      <c r="D4" s="52">
        <f>SUM(C4/C2)</f>
        <v>0.23076923076923078</v>
      </c>
      <c r="E4" s="80"/>
      <c r="F4" s="80"/>
      <c r="G4" s="13"/>
      <c r="H4" s="2" t="s">
        <v>1</v>
      </c>
      <c r="I4" s="2" t="s">
        <v>16</v>
      </c>
      <c r="J4" s="17">
        <v>3</v>
      </c>
      <c r="K4" s="52">
        <f>SUM(J4/C2)</f>
        <v>0.23076923076923078</v>
      </c>
      <c r="L4" s="81"/>
      <c r="M4" s="81"/>
      <c r="N4" s="81"/>
      <c r="P4" s="2" t="s">
        <v>1</v>
      </c>
      <c r="Q4" s="2" t="s">
        <v>25</v>
      </c>
      <c r="R4" s="17">
        <v>0</v>
      </c>
      <c r="S4" s="4">
        <f>SUM(R4/R2)</f>
        <v>0</v>
      </c>
      <c r="X4" s="2" t="s">
        <v>1</v>
      </c>
      <c r="Y4" s="2" t="s">
        <v>38</v>
      </c>
      <c r="Z4" s="3">
        <v>1</v>
      </c>
      <c r="AB4" s="82"/>
      <c r="AC4" s="82"/>
      <c r="AD4" s="82"/>
      <c r="AE4" s="82"/>
      <c r="AF4" s="82"/>
      <c r="AG4" s="82"/>
      <c r="AI4" s="2" t="s">
        <v>1</v>
      </c>
      <c r="AJ4" s="2" t="s">
        <v>54</v>
      </c>
      <c r="AK4" s="17">
        <v>3</v>
      </c>
      <c r="AL4" s="4">
        <f>SUM(AK4/AK2)</f>
        <v>0.23076923076923078</v>
      </c>
      <c r="AM4" s="93"/>
      <c r="AN4" s="93"/>
      <c r="AO4" s="93"/>
      <c r="AQ4" s="63"/>
      <c r="AR4" s="63"/>
      <c r="AS4" s="63"/>
      <c r="AT4" s="4">
        <f>SUM(AS5/AS2)</f>
        <v>0</v>
      </c>
      <c r="AU4" s="82"/>
      <c r="AV4" s="82"/>
      <c r="AX4" s="2" t="s">
        <v>1</v>
      </c>
      <c r="AY4" s="2" t="s">
        <v>68</v>
      </c>
      <c r="AZ4" s="3">
        <v>8</v>
      </c>
      <c r="BA4" s="34">
        <f>SUM(AZ4/AZ2)</f>
        <v>0.61538461538461542</v>
      </c>
      <c r="BG4" s="2" t="s">
        <v>1</v>
      </c>
      <c r="BH4" s="2" t="s">
        <v>89</v>
      </c>
      <c r="BI4" s="3">
        <v>1</v>
      </c>
      <c r="BJ4" s="4">
        <f>SUM(BI5/BI2)</f>
        <v>0.92307692307692313</v>
      </c>
      <c r="BL4" s="80"/>
    </row>
    <row r="5" spans="1:64">
      <c r="A5" s="5" t="s">
        <v>3</v>
      </c>
      <c r="B5" s="2" t="s">
        <v>4</v>
      </c>
      <c r="C5" s="118">
        <v>5</v>
      </c>
      <c r="D5" s="52">
        <f>SUM(C5/C2)</f>
        <v>0.38461538461538464</v>
      </c>
      <c r="E5" s="80"/>
      <c r="F5" s="80"/>
      <c r="G5" s="13"/>
      <c r="H5" s="2" t="s">
        <v>3</v>
      </c>
      <c r="I5" s="2" t="s">
        <v>17</v>
      </c>
      <c r="J5" s="17">
        <v>10</v>
      </c>
      <c r="K5" s="52">
        <f>SUM(J5/C2)</f>
        <v>0.76923076923076927</v>
      </c>
      <c r="L5" s="81"/>
      <c r="M5" s="81"/>
      <c r="N5" s="81"/>
      <c r="P5" s="2" t="s">
        <v>3</v>
      </c>
      <c r="Q5" s="2" t="s">
        <v>26</v>
      </c>
      <c r="R5" s="17">
        <v>4</v>
      </c>
      <c r="S5" s="4">
        <f>SUM(R5/R2)</f>
        <v>0.30769230769230771</v>
      </c>
      <c r="X5" s="2" t="s">
        <v>3</v>
      </c>
      <c r="Y5" s="2" t="s">
        <v>39</v>
      </c>
      <c r="Z5" s="3">
        <v>2</v>
      </c>
      <c r="AB5" s="82"/>
      <c r="AC5" s="82"/>
      <c r="AD5" s="82"/>
      <c r="AE5" s="82"/>
      <c r="AF5" s="82"/>
      <c r="AG5" s="82"/>
      <c r="AI5" s="2" t="s">
        <v>3</v>
      </c>
      <c r="AJ5" s="2" t="s">
        <v>55</v>
      </c>
      <c r="AK5" s="17">
        <v>3</v>
      </c>
      <c r="AL5" s="4">
        <f>SUM(AK5/AK2)</f>
        <v>0.23076923076923078</v>
      </c>
      <c r="AM5" s="93"/>
      <c r="AN5" s="93"/>
      <c r="AO5" s="93"/>
      <c r="AQ5" s="2" t="s">
        <v>1</v>
      </c>
      <c r="AR5" s="2" t="s">
        <v>62</v>
      </c>
      <c r="AS5" s="3">
        <v>0</v>
      </c>
      <c r="AT5" s="4">
        <f>SUM(AS6/AS2)</f>
        <v>0</v>
      </c>
      <c r="AU5" s="82"/>
      <c r="AV5" s="82"/>
      <c r="AX5" s="2" t="s">
        <v>3</v>
      </c>
      <c r="AY5" s="2" t="s">
        <v>69</v>
      </c>
      <c r="AZ5" s="3">
        <v>4</v>
      </c>
      <c r="BA5" s="34">
        <f>SUM(AZ5/AZ2)</f>
        <v>0.30769230769230771</v>
      </c>
      <c r="BG5" s="2" t="s">
        <v>3</v>
      </c>
      <c r="BH5" s="2" t="s">
        <v>69</v>
      </c>
      <c r="BI5" s="3">
        <v>12</v>
      </c>
      <c r="BJ5" s="4">
        <f>SUM(BJ3:BJ4)</f>
        <v>1</v>
      </c>
      <c r="BL5" s="80"/>
    </row>
    <row r="6" spans="1:64">
      <c r="A6" s="5" t="s">
        <v>5</v>
      </c>
      <c r="B6" s="2" t="s">
        <v>6</v>
      </c>
      <c r="C6" s="118">
        <v>3</v>
      </c>
      <c r="D6" s="52">
        <f>SUM(C6/C2)</f>
        <v>0.23076923076923078</v>
      </c>
      <c r="E6" s="80"/>
      <c r="F6" s="80"/>
      <c r="G6" s="13"/>
      <c r="H6" s="7"/>
      <c r="I6" s="7"/>
      <c r="J6" s="8"/>
      <c r="K6" s="52">
        <f>SUM(K4:K5)</f>
        <v>1</v>
      </c>
      <c r="L6" s="81"/>
      <c r="M6" s="81"/>
      <c r="N6" s="81"/>
      <c r="P6" s="2" t="s">
        <v>5</v>
      </c>
      <c r="Q6" s="2" t="s">
        <v>27</v>
      </c>
      <c r="R6" s="17">
        <v>5</v>
      </c>
      <c r="S6" s="4">
        <f>SUM(R6/R2)</f>
        <v>0.38461538461538464</v>
      </c>
      <c r="X6" s="2" t="s">
        <v>5</v>
      </c>
      <c r="Y6" s="2" t="s">
        <v>40</v>
      </c>
      <c r="Z6" s="3">
        <v>5</v>
      </c>
      <c r="AB6" s="82"/>
      <c r="AC6" s="82"/>
      <c r="AD6" s="82"/>
      <c r="AE6" s="82"/>
      <c r="AF6" s="82"/>
      <c r="AG6" s="82"/>
      <c r="AI6" s="2" t="s">
        <v>5</v>
      </c>
      <c r="AJ6" s="2" t="s">
        <v>56</v>
      </c>
      <c r="AK6" s="17">
        <v>0</v>
      </c>
      <c r="AL6" s="4">
        <f>SUM(AK6/AK2)</f>
        <v>0</v>
      </c>
      <c r="AM6" s="93"/>
      <c r="AN6" s="93"/>
      <c r="AO6" s="93"/>
      <c r="AQ6" s="2" t="s">
        <v>3</v>
      </c>
      <c r="AR6" s="2" t="s">
        <v>63</v>
      </c>
      <c r="AS6" s="3">
        <v>0</v>
      </c>
      <c r="AT6" s="4">
        <f>SUM(AS7/AS2)</f>
        <v>0</v>
      </c>
      <c r="AU6" s="82"/>
      <c r="AV6" s="82"/>
      <c r="AX6" s="99" t="s">
        <v>74</v>
      </c>
      <c r="AY6" s="99"/>
      <c r="AZ6" s="99"/>
      <c r="BA6" s="34">
        <f>SUM(BA4:BA5)</f>
        <v>0.92307692307692313</v>
      </c>
      <c r="BG6" s="31"/>
      <c r="BH6" s="31"/>
      <c r="BI6" s="31"/>
      <c r="BL6" s="80"/>
    </row>
    <row r="7" spans="1:64">
      <c r="A7" s="5" t="s">
        <v>7</v>
      </c>
      <c r="B7" s="2" t="s">
        <v>8</v>
      </c>
      <c r="C7" s="118">
        <v>2</v>
      </c>
      <c r="D7" s="52">
        <f>SUM(C7/ C2)</f>
        <v>0.15384615384615385</v>
      </c>
      <c r="E7" s="80"/>
      <c r="F7" s="80"/>
      <c r="G7" s="13"/>
      <c r="H7" s="7"/>
      <c r="I7" s="7"/>
      <c r="J7" s="8"/>
      <c r="K7" s="10"/>
      <c r="L7" s="81"/>
      <c r="M7" s="81"/>
      <c r="N7" s="81"/>
      <c r="P7" s="2" t="s">
        <v>7</v>
      </c>
      <c r="Q7" s="2" t="s">
        <v>28</v>
      </c>
      <c r="R7" s="17">
        <v>3</v>
      </c>
      <c r="S7" s="4">
        <f>SUM(R7/R2)</f>
        <v>0.23076923076923078</v>
      </c>
      <c r="X7" s="2" t="s">
        <v>7</v>
      </c>
      <c r="Y7" s="2" t="s">
        <v>41</v>
      </c>
      <c r="Z7" s="3">
        <v>1</v>
      </c>
      <c r="AB7" s="82"/>
      <c r="AC7" s="82"/>
      <c r="AD7" s="82"/>
      <c r="AE7" s="82"/>
      <c r="AF7" s="82"/>
      <c r="AG7" s="82"/>
      <c r="AI7" s="2" t="s">
        <v>7</v>
      </c>
      <c r="AJ7" s="2" t="s">
        <v>57</v>
      </c>
      <c r="AK7" s="17">
        <v>1</v>
      </c>
      <c r="AL7" s="4">
        <f>SUM(AK7/AK2)</f>
        <v>7.6923076923076927E-2</v>
      </c>
      <c r="AM7" s="93"/>
      <c r="AN7" s="93"/>
      <c r="AO7" s="93"/>
      <c r="AQ7" s="2" t="s">
        <v>5</v>
      </c>
      <c r="AR7" s="2" t="s">
        <v>64</v>
      </c>
      <c r="AS7" s="3">
        <v>0</v>
      </c>
      <c r="AT7" s="4">
        <f>SUM(AS8/AS2)</f>
        <v>0</v>
      </c>
      <c r="AU7" s="82"/>
      <c r="AV7" s="82"/>
      <c r="AX7" s="2" t="s">
        <v>75</v>
      </c>
      <c r="AY7" s="15" t="s">
        <v>76</v>
      </c>
      <c r="AZ7" s="2">
        <v>0</v>
      </c>
      <c r="BG7" s="7"/>
      <c r="BH7" s="28"/>
      <c r="BI7" s="7"/>
      <c r="BL7" s="80"/>
    </row>
    <row r="8" spans="1:64" ht="15.75" thickBot="1">
      <c r="A8" s="6"/>
      <c r="B8" s="7"/>
      <c r="C8" s="8"/>
      <c r="D8" s="10">
        <f>SUM(D4:D7)</f>
        <v>1</v>
      </c>
      <c r="E8" s="80"/>
      <c r="F8" s="80"/>
      <c r="G8" s="13"/>
      <c r="H8" s="7"/>
      <c r="I8" s="7"/>
      <c r="J8" s="7"/>
      <c r="K8" s="7"/>
      <c r="L8" s="81"/>
      <c r="M8" s="81"/>
      <c r="N8" s="81"/>
      <c r="P8" s="15" t="s">
        <v>30</v>
      </c>
      <c r="Q8" s="15" t="s">
        <v>29</v>
      </c>
      <c r="R8" s="17">
        <v>1</v>
      </c>
      <c r="S8" s="4">
        <f>SUM(R8/R2)</f>
        <v>7.6923076923076927E-2</v>
      </c>
      <c r="X8" s="15" t="s">
        <v>30</v>
      </c>
      <c r="Y8" s="15" t="s">
        <v>29</v>
      </c>
      <c r="Z8" s="3">
        <v>1</v>
      </c>
      <c r="AB8" s="82"/>
      <c r="AC8" s="82"/>
      <c r="AD8" s="82"/>
      <c r="AE8" s="82"/>
      <c r="AF8" s="82"/>
      <c r="AG8" s="82"/>
      <c r="AI8" s="15" t="s">
        <v>58</v>
      </c>
      <c r="AJ8" s="15" t="s">
        <v>59</v>
      </c>
      <c r="AK8" s="17">
        <v>6</v>
      </c>
      <c r="AL8" s="4">
        <f>SUM(AK8/AK2)</f>
        <v>0.46153846153846156</v>
      </c>
      <c r="AM8" s="93"/>
      <c r="AN8" s="93"/>
      <c r="AO8" s="93"/>
      <c r="AQ8" s="2" t="s">
        <v>7</v>
      </c>
      <c r="AR8" s="2" t="s">
        <v>65</v>
      </c>
      <c r="AS8" s="3">
        <v>0</v>
      </c>
      <c r="AT8" s="35">
        <f>SUM(AS9/AS2)</f>
        <v>1</v>
      </c>
      <c r="AU8" s="82"/>
      <c r="AV8" s="82"/>
      <c r="AX8" s="2" t="s">
        <v>77</v>
      </c>
      <c r="AY8" s="15" t="s">
        <v>78</v>
      </c>
      <c r="AZ8" s="2">
        <v>1</v>
      </c>
      <c r="BG8" s="7"/>
      <c r="BH8" s="28"/>
      <c r="BI8" s="7"/>
      <c r="BL8" s="80"/>
    </row>
    <row r="9" spans="1:64">
      <c r="A9" s="66"/>
      <c r="B9" s="67"/>
      <c r="C9" s="67"/>
      <c r="D9" s="67"/>
      <c r="E9" s="80"/>
      <c r="F9" s="80"/>
      <c r="G9" s="13"/>
      <c r="L9" s="81"/>
      <c r="M9" s="81"/>
      <c r="N9" s="81"/>
      <c r="S9" s="4">
        <f>SUM(S4:S8)</f>
        <v>1</v>
      </c>
      <c r="X9" s="95" t="s">
        <v>42</v>
      </c>
      <c r="Y9" s="94" t="s">
        <v>43</v>
      </c>
      <c r="Z9" s="96">
        <v>1</v>
      </c>
      <c r="AB9" s="82"/>
      <c r="AC9" s="82"/>
      <c r="AD9" s="82"/>
      <c r="AE9" s="82"/>
      <c r="AF9" s="82"/>
      <c r="AG9" s="82"/>
      <c r="AI9" s="73"/>
      <c r="AJ9" s="74"/>
      <c r="AK9" s="75"/>
      <c r="AL9" s="54">
        <f>SUM(AL4:AL8)</f>
        <v>1</v>
      </c>
      <c r="AQ9" s="15" t="s">
        <v>58</v>
      </c>
      <c r="AR9" s="15" t="s">
        <v>66</v>
      </c>
      <c r="AS9" s="3">
        <v>13</v>
      </c>
      <c r="AT9" s="35">
        <f>SUM(AT4:AT8)</f>
        <v>1</v>
      </c>
      <c r="AU9" s="82"/>
      <c r="AV9" s="82"/>
      <c r="AX9" s="2" t="s">
        <v>79</v>
      </c>
      <c r="AY9" s="15" t="s">
        <v>80</v>
      </c>
      <c r="AZ9" s="2">
        <v>0</v>
      </c>
      <c r="BG9" s="7"/>
      <c r="BH9" s="28"/>
      <c r="BI9" s="7"/>
      <c r="BL9" s="80"/>
    </row>
    <row r="10" spans="1:64">
      <c r="A10" s="68"/>
      <c r="B10" s="69"/>
      <c r="C10" s="69"/>
      <c r="D10" s="69"/>
      <c r="E10" s="80"/>
      <c r="F10" s="80"/>
      <c r="G10" s="13"/>
      <c r="L10" s="81"/>
      <c r="M10" s="81"/>
      <c r="N10" s="81"/>
      <c r="X10" s="95"/>
      <c r="Y10" s="94"/>
      <c r="Z10" s="96"/>
      <c r="AB10" s="82"/>
      <c r="AC10" s="82"/>
      <c r="AD10" s="82"/>
      <c r="AE10" s="82"/>
      <c r="AF10" s="82"/>
      <c r="AG10" s="82"/>
      <c r="AI10" s="73"/>
      <c r="AJ10" s="74"/>
      <c r="AK10" s="75"/>
      <c r="AX10" s="2" t="s">
        <v>81</v>
      </c>
      <c r="AY10" s="15" t="s">
        <v>82</v>
      </c>
      <c r="AZ10" s="2">
        <v>6</v>
      </c>
      <c r="BG10" s="7"/>
      <c r="BH10" s="28"/>
      <c r="BI10" s="7"/>
      <c r="BL10" s="80"/>
    </row>
    <row r="11" spans="1:64" ht="30">
      <c r="A11" s="68"/>
      <c r="B11" s="69"/>
      <c r="C11" s="69"/>
      <c r="D11" s="69"/>
      <c r="E11" s="80"/>
      <c r="F11" s="80"/>
      <c r="G11" s="13"/>
      <c r="L11" s="81"/>
      <c r="M11" s="81"/>
      <c r="N11" s="81"/>
      <c r="P11" s="82"/>
      <c r="Q11" s="82"/>
      <c r="R11" s="82"/>
      <c r="S11" s="82"/>
      <c r="X11" s="15" t="s">
        <v>46</v>
      </c>
      <c r="Y11" s="20" t="s">
        <v>44</v>
      </c>
      <c r="Z11" s="16">
        <v>1</v>
      </c>
      <c r="AB11" s="82"/>
      <c r="AC11" s="82"/>
      <c r="AD11" s="82"/>
      <c r="AE11" s="82"/>
      <c r="AF11" s="82"/>
      <c r="AG11" s="82"/>
      <c r="AI11" s="28"/>
      <c r="AJ11" s="29"/>
      <c r="AK11" s="30"/>
      <c r="BC11" s="80"/>
      <c r="BD11" s="80"/>
      <c r="BE11" s="80"/>
      <c r="BG11" s="7"/>
      <c r="BH11" s="7"/>
      <c r="BI11" s="7"/>
      <c r="BL11" s="80"/>
    </row>
    <row r="12" spans="1:64" ht="29.1" customHeight="1">
      <c r="A12" s="68"/>
      <c r="B12" s="69"/>
      <c r="C12" s="69"/>
      <c r="D12" s="69"/>
      <c r="E12" s="80"/>
      <c r="F12" s="80"/>
      <c r="G12" s="13"/>
      <c r="L12" s="81"/>
      <c r="M12" s="81"/>
      <c r="N12" s="81"/>
      <c r="P12" s="82"/>
      <c r="Q12" s="82"/>
      <c r="R12" s="82"/>
      <c r="S12" s="82"/>
      <c r="X12" s="98" t="s">
        <v>45</v>
      </c>
      <c r="Y12" s="97" t="s">
        <v>47</v>
      </c>
      <c r="Z12" s="96">
        <v>1</v>
      </c>
      <c r="AB12" s="82"/>
      <c r="AC12" s="82"/>
      <c r="AD12" s="82"/>
      <c r="AE12" s="82"/>
      <c r="AF12" s="82"/>
      <c r="AG12" s="82"/>
      <c r="AI12" s="76"/>
      <c r="AJ12" s="77"/>
      <c r="AK12" s="75"/>
      <c r="AQ12" s="7"/>
      <c r="AR12" s="7"/>
      <c r="AS12" s="7"/>
      <c r="BC12" s="80"/>
      <c r="BD12" s="80"/>
      <c r="BE12" s="80"/>
      <c r="BG12" s="7"/>
      <c r="BH12" s="7"/>
      <c r="BI12" s="7"/>
      <c r="BL12" s="80"/>
    </row>
    <row r="13" spans="1:64">
      <c r="A13" s="68"/>
      <c r="B13" s="69"/>
      <c r="C13" s="69"/>
      <c r="D13" s="69"/>
      <c r="E13" s="80"/>
      <c r="F13" s="80"/>
      <c r="G13" s="13"/>
      <c r="L13" s="81"/>
      <c r="M13" s="81"/>
      <c r="N13" s="81"/>
      <c r="P13" s="82"/>
      <c r="Q13" s="82"/>
      <c r="R13" s="82"/>
      <c r="S13" s="82"/>
      <c r="X13" s="98"/>
      <c r="Y13" s="97"/>
      <c r="Z13" s="96"/>
      <c r="AB13" s="82"/>
      <c r="AC13" s="82"/>
      <c r="AD13" s="82"/>
      <c r="AE13" s="82"/>
      <c r="AF13" s="82"/>
      <c r="AG13" s="82"/>
      <c r="AI13" s="76"/>
      <c r="AJ13" s="77"/>
      <c r="AK13" s="75"/>
      <c r="AQ13" s="7"/>
      <c r="AR13" s="7"/>
      <c r="AS13" s="8"/>
      <c r="BC13" s="80"/>
      <c r="BD13" s="80"/>
      <c r="BE13" s="80"/>
      <c r="BL13" s="80"/>
    </row>
    <row r="14" spans="1:64">
      <c r="A14" s="68"/>
      <c r="B14" s="69"/>
      <c r="C14" s="69"/>
      <c r="D14" s="69"/>
      <c r="E14" s="80"/>
      <c r="F14" s="80"/>
      <c r="G14" s="13"/>
      <c r="L14" s="81"/>
      <c r="M14" s="81"/>
      <c r="N14" s="81"/>
      <c r="P14" s="82"/>
      <c r="Q14" s="82"/>
      <c r="R14" s="82"/>
      <c r="S14" s="82"/>
      <c r="Y14" s="22"/>
      <c r="AB14" s="82"/>
      <c r="AC14" s="82"/>
      <c r="AD14" s="82"/>
      <c r="AE14" s="82"/>
      <c r="AF14" s="82"/>
      <c r="AG14" s="82"/>
      <c r="AI14" s="7"/>
      <c r="AJ14" s="7"/>
      <c r="AK14" s="7"/>
      <c r="AQ14" s="7"/>
      <c r="AR14" s="7"/>
      <c r="AS14" s="8"/>
      <c r="BC14" s="80"/>
      <c r="BD14" s="80"/>
      <c r="BE14" s="80"/>
      <c r="BL14" s="80"/>
    </row>
    <row r="15" spans="1:64">
      <c r="A15" s="68"/>
      <c r="B15" s="69"/>
      <c r="C15" s="69"/>
      <c r="D15" s="69"/>
      <c r="E15" s="80"/>
      <c r="F15" s="80"/>
      <c r="G15" s="13"/>
      <c r="L15" s="81"/>
      <c r="M15" s="81"/>
      <c r="N15" s="81"/>
      <c r="P15" s="82"/>
      <c r="Q15" s="82"/>
      <c r="R15" s="82"/>
      <c r="S15" s="82"/>
      <c r="AQ15" s="7"/>
      <c r="AR15" s="7"/>
      <c r="AS15" s="8"/>
      <c r="BC15" s="80"/>
      <c r="BD15" s="80"/>
      <c r="BE15" s="80"/>
      <c r="BL15" s="80"/>
    </row>
    <row r="16" spans="1:64">
      <c r="A16" s="68"/>
      <c r="B16" s="69"/>
      <c r="C16" s="69"/>
      <c r="D16" s="69"/>
      <c r="E16" s="80"/>
      <c r="F16" s="80"/>
      <c r="G16" s="13"/>
      <c r="L16" s="81"/>
      <c r="M16" s="81"/>
      <c r="N16" s="81"/>
      <c r="P16" s="82"/>
      <c r="Q16" s="82"/>
      <c r="R16" s="82"/>
      <c r="S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Q16" s="7"/>
      <c r="AR16" s="7"/>
      <c r="AS16" s="8"/>
      <c r="BC16" s="80"/>
      <c r="BD16" s="80"/>
      <c r="BE16" s="80"/>
      <c r="BL16" s="80"/>
    </row>
    <row r="17" spans="1:64" ht="15.75" thickBot="1">
      <c r="A17" s="70"/>
      <c r="B17" s="71"/>
      <c r="C17" s="71"/>
      <c r="D17" s="71"/>
      <c r="E17" s="80"/>
      <c r="F17" s="80"/>
      <c r="G17" s="13"/>
      <c r="L17" s="81"/>
      <c r="M17" s="81"/>
      <c r="N17" s="81"/>
      <c r="P17" s="82"/>
      <c r="Q17" s="82"/>
      <c r="R17" s="82"/>
      <c r="S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Q17" s="28"/>
      <c r="AR17" s="28"/>
      <c r="AS17" s="8"/>
      <c r="BC17" s="80"/>
      <c r="BD17" s="80"/>
      <c r="BE17" s="80"/>
      <c r="BL17" s="80"/>
    </row>
    <row r="18" spans="1:64" s="33" customFormat="1" ht="15.75" thickBot="1">
      <c r="A18" s="32"/>
      <c r="B18" s="32"/>
      <c r="C18" s="32"/>
      <c r="D18" s="3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T18" s="32"/>
    </row>
    <row r="19" spans="1:64">
      <c r="A19" s="64" t="s">
        <v>15</v>
      </c>
      <c r="B19" s="65"/>
      <c r="C19" s="65"/>
      <c r="D19" s="49" t="s">
        <v>10</v>
      </c>
      <c r="E19" s="81"/>
      <c r="F19" s="81"/>
      <c r="G19" s="12"/>
      <c r="H19" s="91" t="s">
        <v>18</v>
      </c>
      <c r="I19" s="92"/>
      <c r="J19" s="92"/>
      <c r="K19" s="92"/>
      <c r="M19" s="69"/>
      <c r="N19" s="69"/>
      <c r="P19" s="64" t="s">
        <v>36</v>
      </c>
      <c r="Q19" s="65"/>
      <c r="R19" s="72"/>
      <c r="S19" s="2"/>
      <c r="U19" t="s">
        <v>9</v>
      </c>
      <c r="V19" s="1">
        <v>13</v>
      </c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J19" t="s">
        <v>9</v>
      </c>
      <c r="AK19" s="1">
        <v>13</v>
      </c>
      <c r="AM19" s="82"/>
      <c r="AN19" s="82"/>
      <c r="AO19" s="82"/>
      <c r="AR19" t="s">
        <v>9</v>
      </c>
      <c r="AS19">
        <v>13</v>
      </c>
      <c r="AU19" s="82"/>
      <c r="AV19" s="82"/>
      <c r="AY19" t="s">
        <v>9</v>
      </c>
      <c r="AZ19">
        <v>13</v>
      </c>
      <c r="BC19" s="80"/>
      <c r="BD19" s="80"/>
      <c r="BE19" s="80"/>
    </row>
    <row r="20" spans="1:64">
      <c r="A20" s="5" t="s">
        <v>1</v>
      </c>
      <c r="B20" s="2" t="s">
        <v>11</v>
      </c>
      <c r="C20" s="3">
        <v>6</v>
      </c>
      <c r="D20" s="52">
        <f>SUM(C20/C2)</f>
        <v>0.46153846153846156</v>
      </c>
      <c r="E20" s="81"/>
      <c r="F20" s="81"/>
      <c r="G20" s="13"/>
      <c r="H20" s="5" t="s">
        <v>19</v>
      </c>
      <c r="I20" s="78" t="s">
        <v>20</v>
      </c>
      <c r="J20" s="79"/>
      <c r="K20" s="14">
        <v>2</v>
      </c>
      <c r="L20" s="50">
        <f>SUM(K20/C2)</f>
        <v>0.15384615384615385</v>
      </c>
      <c r="M20" s="69"/>
      <c r="N20" s="69"/>
      <c r="P20" s="2" t="s">
        <v>1</v>
      </c>
      <c r="Q20" s="2" t="s">
        <v>31</v>
      </c>
      <c r="R20" s="17">
        <v>2</v>
      </c>
      <c r="S20" s="4">
        <f>SUM(R20/R2)</f>
        <v>0.15384615384615385</v>
      </c>
      <c r="U20" s="80"/>
      <c r="V20" s="80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I20" s="62" t="s">
        <v>60</v>
      </c>
      <c r="AJ20" s="62"/>
      <c r="AK20" s="62"/>
      <c r="AM20" s="82"/>
      <c r="AN20" s="82"/>
      <c r="AO20" s="82"/>
      <c r="AQ20" s="62" t="s">
        <v>67</v>
      </c>
      <c r="AR20" s="62"/>
      <c r="AS20" s="62"/>
      <c r="AU20" s="82"/>
      <c r="AV20" s="82"/>
      <c r="AX20" s="62" t="s">
        <v>83</v>
      </c>
      <c r="AY20" s="62"/>
      <c r="AZ20" s="62"/>
      <c r="BC20" s="80"/>
      <c r="BD20" s="80"/>
      <c r="BE20" s="80"/>
    </row>
    <row r="21" spans="1:64">
      <c r="A21" s="5" t="s">
        <v>3</v>
      </c>
      <c r="B21" s="2" t="s">
        <v>12</v>
      </c>
      <c r="C21" s="3">
        <v>6</v>
      </c>
      <c r="D21" s="52">
        <f>SUM(C21/C2)</f>
        <v>0.46153846153846156</v>
      </c>
      <c r="E21" s="81"/>
      <c r="F21" s="81"/>
      <c r="G21" s="13"/>
      <c r="H21" s="5" t="s">
        <v>3</v>
      </c>
      <c r="I21" s="78" t="s">
        <v>21</v>
      </c>
      <c r="J21" s="79"/>
      <c r="K21" s="14">
        <v>9</v>
      </c>
      <c r="L21" s="50">
        <f>SUM(K21/C2)</f>
        <v>0.69230769230769229</v>
      </c>
      <c r="M21" s="69"/>
      <c r="N21" s="69"/>
      <c r="P21" s="2" t="s">
        <v>3</v>
      </c>
      <c r="Q21" s="2" t="s">
        <v>32</v>
      </c>
      <c r="R21" s="17">
        <v>8</v>
      </c>
      <c r="S21" s="4">
        <f>SUM(R21/R2)</f>
        <v>0.61538461538461542</v>
      </c>
      <c r="U21" s="80"/>
      <c r="V21" s="80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I21" s="2" t="s">
        <v>1</v>
      </c>
      <c r="AJ21" s="2" t="s">
        <v>54</v>
      </c>
      <c r="AK21" s="17">
        <v>2</v>
      </c>
      <c r="AL21" s="4">
        <f>SUM(AK21/AK19)</f>
        <v>0.15384615384615385</v>
      </c>
      <c r="AM21" s="82"/>
      <c r="AN21" s="82"/>
      <c r="AO21" s="82"/>
      <c r="AQ21" s="2" t="s">
        <v>1</v>
      </c>
      <c r="AR21" s="2" t="s">
        <v>68</v>
      </c>
      <c r="AS21" s="3">
        <v>1</v>
      </c>
      <c r="AT21" s="35">
        <f>SUM(AS21/AS19)</f>
        <v>7.6923076923076927E-2</v>
      </c>
      <c r="AU21" s="82"/>
      <c r="AV21" s="82"/>
      <c r="AX21" s="2" t="s">
        <v>1</v>
      </c>
      <c r="AY21" s="2" t="s">
        <v>68</v>
      </c>
      <c r="AZ21" s="3">
        <v>7</v>
      </c>
      <c r="BA21" s="34">
        <f>SUM(AZ21/AZ19)</f>
        <v>0.53846153846153844</v>
      </c>
      <c r="BC21" s="80"/>
      <c r="BD21" s="80"/>
      <c r="BE21" s="80"/>
    </row>
    <row r="22" spans="1:64">
      <c r="A22" s="5" t="s">
        <v>5</v>
      </c>
      <c r="B22" s="2" t="s">
        <v>13</v>
      </c>
      <c r="C22" s="3">
        <v>1</v>
      </c>
      <c r="D22" s="52">
        <f>SUM(C22/C2)</f>
        <v>7.6923076923076927E-2</v>
      </c>
      <c r="E22" s="81"/>
      <c r="F22" s="81"/>
      <c r="G22" s="13"/>
      <c r="H22" s="5" t="s">
        <v>5</v>
      </c>
      <c r="I22" s="80" t="s">
        <v>22</v>
      </c>
      <c r="J22" s="80"/>
      <c r="K22" s="14">
        <v>0</v>
      </c>
      <c r="L22" s="50">
        <f t="shared" ref="L22" si="0">SUM(K22/C4)</f>
        <v>0</v>
      </c>
      <c r="M22" s="69"/>
      <c r="N22" s="69"/>
      <c r="P22" s="2" t="s">
        <v>5</v>
      </c>
      <c r="Q22" s="2" t="s">
        <v>33</v>
      </c>
      <c r="R22" s="17">
        <v>3</v>
      </c>
      <c r="S22" s="4">
        <f>SUM(R22/R2)</f>
        <v>0.23076923076923078</v>
      </c>
      <c r="U22" s="80"/>
      <c r="V22" s="80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I22" s="2" t="s">
        <v>3</v>
      </c>
      <c r="AJ22" s="2" t="s">
        <v>55</v>
      </c>
      <c r="AK22" s="17">
        <v>3</v>
      </c>
      <c r="AL22" s="4">
        <f>SUM(AK22/AK19)</f>
        <v>0.23076923076923078</v>
      </c>
      <c r="AM22" s="82"/>
      <c r="AN22" s="82"/>
      <c r="AO22" s="82"/>
      <c r="AQ22" s="2" t="s">
        <v>3</v>
      </c>
      <c r="AR22" s="2" t="s">
        <v>69</v>
      </c>
      <c r="AS22" s="3">
        <v>12</v>
      </c>
      <c r="AT22" s="35">
        <f>SUM(AS22/AS19)</f>
        <v>0.92307692307692313</v>
      </c>
      <c r="AU22" s="82"/>
      <c r="AV22" s="82"/>
      <c r="AX22" s="2" t="s">
        <v>3</v>
      </c>
      <c r="AY22" s="2" t="s">
        <v>69</v>
      </c>
      <c r="AZ22" s="3">
        <v>5</v>
      </c>
      <c r="BA22" s="34">
        <f>SUM(AZ22/AZ19)</f>
        <v>0.38461538461538464</v>
      </c>
      <c r="BC22" s="80"/>
      <c r="BD22" s="80"/>
      <c r="BE22" s="80"/>
    </row>
    <row r="23" spans="1:64">
      <c r="A23" s="5" t="s">
        <v>7</v>
      </c>
      <c r="B23" s="2" t="s">
        <v>14</v>
      </c>
      <c r="C23" s="3">
        <v>0</v>
      </c>
      <c r="D23" s="52">
        <f t="shared" ref="D23" si="1">SUM(C23/C5)</f>
        <v>0</v>
      </c>
      <c r="E23" s="81"/>
      <c r="F23" s="81"/>
      <c r="G23" s="13"/>
      <c r="H23" s="5" t="s">
        <v>7</v>
      </c>
      <c r="I23" s="80" t="s">
        <v>23</v>
      </c>
      <c r="J23" s="80"/>
      <c r="K23" s="14">
        <v>2</v>
      </c>
      <c r="L23" s="50">
        <f>SUM(K23/C2)</f>
        <v>0.15384615384615385</v>
      </c>
      <c r="M23" s="69"/>
      <c r="N23" s="69"/>
      <c r="P23" s="85" t="s">
        <v>35</v>
      </c>
      <c r="Q23" s="83" t="s">
        <v>34</v>
      </c>
      <c r="R23" s="87">
        <v>0</v>
      </c>
      <c r="S23" s="19">
        <f>SUM(R23/R2)</f>
        <v>0</v>
      </c>
      <c r="U23" s="80"/>
      <c r="V23" s="80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I23" s="2" t="s">
        <v>5</v>
      </c>
      <c r="AJ23" s="2" t="s">
        <v>70</v>
      </c>
      <c r="AK23" s="17">
        <v>0</v>
      </c>
      <c r="AL23" s="4">
        <f>SUM(AK23/AK19)</f>
        <v>0</v>
      </c>
      <c r="AM23" s="82"/>
      <c r="AN23" s="82"/>
      <c r="AO23" s="82"/>
      <c r="AQ23" s="2" t="s">
        <v>5</v>
      </c>
      <c r="AR23" s="2" t="s">
        <v>72</v>
      </c>
      <c r="AS23" s="3"/>
      <c r="AT23" s="35">
        <f>SUM(AT21:AT22)</f>
        <v>1</v>
      </c>
      <c r="AU23" s="82"/>
      <c r="AV23" s="82"/>
      <c r="AX23" s="99" t="s">
        <v>74</v>
      </c>
      <c r="AY23" s="99"/>
      <c r="AZ23" s="99"/>
      <c r="BA23" s="34">
        <f>SUM(BA21:BA22)</f>
        <v>0.92307692307692313</v>
      </c>
      <c r="BC23" s="80"/>
      <c r="BD23" s="80"/>
      <c r="BE23" s="80"/>
    </row>
    <row r="24" spans="1:64">
      <c r="D24" s="53">
        <f>SUM(D20:D23)</f>
        <v>1</v>
      </c>
      <c r="E24" s="81"/>
      <c r="F24" s="81"/>
      <c r="G24" s="13"/>
      <c r="J24" s="7"/>
      <c r="K24" s="9"/>
      <c r="L24" s="51">
        <f>SUM(L20:L23)</f>
        <v>1</v>
      </c>
      <c r="M24" s="69"/>
      <c r="N24" s="69"/>
      <c r="P24" s="86"/>
      <c r="Q24" s="84"/>
      <c r="R24" s="88"/>
      <c r="S24" s="18">
        <f>SUM(S20:S23)</f>
        <v>1</v>
      </c>
      <c r="U24" s="80"/>
      <c r="V24" s="80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I24" s="2" t="s">
        <v>7</v>
      </c>
      <c r="AJ24" s="2" t="s">
        <v>57</v>
      </c>
      <c r="AK24" s="17">
        <v>1</v>
      </c>
      <c r="AL24" s="4">
        <f>SUM(AK24/AK19)</f>
        <v>7.6923076923076927E-2</v>
      </c>
      <c r="AM24" s="82"/>
      <c r="AN24" s="82"/>
      <c r="AO24" s="82"/>
      <c r="AQ24" s="7"/>
      <c r="AR24" s="7"/>
      <c r="AS24" s="8"/>
      <c r="AU24" s="82"/>
      <c r="AV24" s="82"/>
      <c r="AX24" s="2" t="s">
        <v>75</v>
      </c>
      <c r="AY24" s="15" t="s">
        <v>76</v>
      </c>
      <c r="AZ24" s="2">
        <v>1</v>
      </c>
      <c r="BA24" t="s">
        <v>87</v>
      </c>
      <c r="BC24" s="80"/>
      <c r="BD24" s="80"/>
      <c r="BE24" s="80"/>
    </row>
    <row r="25" spans="1:64">
      <c r="E25" s="81"/>
      <c r="F25" s="81"/>
      <c r="G25" s="13"/>
      <c r="J25" s="7"/>
      <c r="K25" s="7"/>
      <c r="L25" s="7"/>
      <c r="M25" s="69"/>
      <c r="N25" s="69"/>
      <c r="U25" s="80"/>
      <c r="V25" s="80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I25" s="15" t="s">
        <v>58</v>
      </c>
      <c r="AJ25" s="15" t="s">
        <v>71</v>
      </c>
      <c r="AK25" s="17">
        <v>7</v>
      </c>
      <c r="AL25" s="4">
        <f>SUM(AK25/AK19)</f>
        <v>0.53846153846153844</v>
      </c>
      <c r="AM25" s="82"/>
      <c r="AN25" s="82"/>
      <c r="AO25" s="82"/>
      <c r="AQ25" s="28"/>
      <c r="AR25" s="28"/>
      <c r="AS25" s="8"/>
      <c r="AU25" s="82"/>
      <c r="AV25" s="82"/>
      <c r="AX25" s="2" t="s">
        <v>77</v>
      </c>
      <c r="AY25" s="15" t="s">
        <v>82</v>
      </c>
      <c r="AZ25" s="2">
        <v>9</v>
      </c>
      <c r="BA25" t="s">
        <v>84</v>
      </c>
      <c r="BB25" t="s">
        <v>86</v>
      </c>
      <c r="BC25" s="80"/>
      <c r="BD25" s="80"/>
      <c r="BE25" s="80"/>
    </row>
    <row r="26" spans="1:64">
      <c r="E26" s="81"/>
      <c r="F26" s="81"/>
      <c r="G26" s="13"/>
      <c r="M26" s="69"/>
      <c r="N26" s="69"/>
      <c r="U26" s="80"/>
      <c r="V26" s="80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L26" s="4">
        <f>SUM(AL21:AL25)</f>
        <v>1</v>
      </c>
      <c r="AM26" s="82"/>
      <c r="AN26" s="82"/>
      <c r="AO26" s="82"/>
      <c r="AQ26" s="7"/>
      <c r="AR26" s="7"/>
      <c r="AS26" s="7"/>
      <c r="AU26" s="82"/>
      <c r="AV26" s="82"/>
      <c r="AX26" s="2" t="s">
        <v>79</v>
      </c>
      <c r="AY26" s="15" t="s">
        <v>85</v>
      </c>
      <c r="AZ26" s="2">
        <v>1</v>
      </c>
      <c r="BA26" t="s">
        <v>84</v>
      </c>
      <c r="BC26" s="80"/>
      <c r="BD26" s="80"/>
      <c r="BE26" s="80"/>
    </row>
    <row r="27" spans="1:64">
      <c r="E27" s="81"/>
      <c r="F27" s="81"/>
      <c r="G27" s="13"/>
      <c r="M27" s="69"/>
      <c r="N27" s="69"/>
      <c r="U27" s="80"/>
      <c r="V27" s="80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Q27" s="7"/>
      <c r="AR27" s="7"/>
      <c r="AS27" s="7"/>
      <c r="AX27" s="7"/>
      <c r="AY27" s="28"/>
      <c r="AZ27" s="7"/>
      <c r="BC27" s="80"/>
      <c r="BD27" s="80"/>
      <c r="BE27" s="80"/>
    </row>
    <row r="28" spans="1:64">
      <c r="E28" s="81"/>
      <c r="F28" s="81"/>
      <c r="G28" s="13"/>
      <c r="M28" s="69"/>
      <c r="N28" s="69"/>
      <c r="U28" s="80"/>
      <c r="V28" s="80"/>
      <c r="X28" s="82"/>
      <c r="Y28" s="82"/>
      <c r="Z28" s="82"/>
      <c r="AA28" s="82"/>
      <c r="AB28" s="82"/>
      <c r="AC28" s="82"/>
      <c r="AD28" s="82"/>
      <c r="AE28" s="82"/>
      <c r="AF28" s="82"/>
      <c r="AG28" s="82"/>
    </row>
    <row r="29" spans="1:64">
      <c r="E29" s="81"/>
      <c r="F29" s="81"/>
      <c r="G29" s="13"/>
      <c r="M29" s="69"/>
      <c r="N29" s="69"/>
      <c r="U29" s="80"/>
      <c r="V29" s="80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64">
      <c r="E30" s="81"/>
      <c r="F30" s="81"/>
      <c r="G30" s="13"/>
      <c r="M30" s="69"/>
      <c r="N30" s="69"/>
      <c r="U30" s="80"/>
      <c r="V30" s="80"/>
      <c r="X30" s="82"/>
      <c r="Y30" s="82"/>
      <c r="Z30" s="82"/>
      <c r="AA30" s="82"/>
      <c r="AB30" s="82"/>
      <c r="AC30" s="82"/>
      <c r="AD30" s="82"/>
      <c r="AE30" s="82"/>
      <c r="AF30" s="82"/>
      <c r="AG30" s="82"/>
    </row>
    <row r="31" spans="1:64">
      <c r="E31" s="81"/>
      <c r="F31" s="81"/>
      <c r="G31" s="13"/>
      <c r="M31" s="69"/>
      <c r="N31" s="69"/>
      <c r="U31" s="80"/>
      <c r="V31" s="80"/>
      <c r="X31" s="82"/>
      <c r="Y31" s="82"/>
      <c r="Z31" s="82"/>
      <c r="AA31" s="82"/>
      <c r="AB31" s="82"/>
      <c r="AC31" s="82"/>
      <c r="AD31" s="82"/>
      <c r="AE31" s="82"/>
      <c r="AF31" s="82"/>
      <c r="AG31" s="82"/>
    </row>
    <row r="32" spans="1:64">
      <c r="E32" s="81"/>
      <c r="F32" s="81"/>
      <c r="G32" s="13"/>
      <c r="M32" s="69"/>
      <c r="N32" s="69"/>
      <c r="U32" s="80"/>
      <c r="V32" s="80"/>
      <c r="X32" s="82"/>
      <c r="Y32" s="82"/>
      <c r="Z32" s="82"/>
      <c r="AA32" s="82"/>
      <c r="AB32" s="82"/>
      <c r="AC32" s="82"/>
      <c r="AD32" s="82"/>
      <c r="AE32" s="82"/>
      <c r="AF32" s="82"/>
      <c r="AG32" s="82"/>
    </row>
    <row r="33" spans="2:46">
      <c r="E33" s="81"/>
      <c r="F33" s="81"/>
      <c r="G33" s="13"/>
      <c r="M33" s="69"/>
      <c r="N33" s="69"/>
      <c r="U33" s="80"/>
      <c r="V33" s="80"/>
      <c r="X33" s="82"/>
      <c r="Y33" s="82"/>
      <c r="Z33" s="82"/>
      <c r="AA33" s="82"/>
      <c r="AB33" s="82"/>
      <c r="AC33" s="82"/>
      <c r="AD33" s="82"/>
      <c r="AE33" s="82"/>
      <c r="AF33" s="82"/>
      <c r="AG33" s="82"/>
    </row>
    <row r="34" spans="2:46">
      <c r="B34" t="s">
        <v>9</v>
      </c>
      <c r="C34" s="1">
        <v>13</v>
      </c>
      <c r="E34" s="81"/>
      <c r="F34" s="81"/>
      <c r="M34" s="69"/>
      <c r="N34" s="69"/>
      <c r="U34" s="80"/>
      <c r="V34" s="80"/>
      <c r="X34" s="82"/>
      <c r="Y34" s="82"/>
      <c r="Z34" s="82"/>
      <c r="AA34" s="82"/>
      <c r="AB34" s="82"/>
      <c r="AC34" s="82"/>
      <c r="AD34" s="82"/>
      <c r="AE34" s="82"/>
      <c r="AF34" s="82"/>
      <c r="AG34" s="82"/>
    </row>
    <row r="35" spans="2:46">
      <c r="E35" s="81"/>
      <c r="F35" s="81"/>
      <c r="J35" s="1"/>
      <c r="M35" s="69"/>
      <c r="N35" s="69"/>
      <c r="U35" s="80"/>
      <c r="V35" s="80"/>
      <c r="X35" s="82"/>
      <c r="Y35" s="82"/>
      <c r="Z35" s="82"/>
      <c r="AA35" s="82"/>
      <c r="AB35" s="82"/>
      <c r="AC35" s="82"/>
      <c r="AD35" s="82"/>
      <c r="AE35" s="82"/>
      <c r="AF35" s="82"/>
      <c r="AG35" s="82"/>
    </row>
    <row r="36" spans="2:46">
      <c r="E36" s="81"/>
      <c r="F36" s="81"/>
      <c r="M36" s="69"/>
      <c r="N36" s="69"/>
      <c r="U36" s="80"/>
      <c r="V36" s="80"/>
      <c r="X36" s="82"/>
      <c r="Y36" s="82"/>
      <c r="Z36" s="82"/>
      <c r="AA36" s="82"/>
      <c r="AB36" s="82"/>
      <c r="AC36" s="82"/>
      <c r="AD36" s="82"/>
      <c r="AE36" s="82"/>
      <c r="AF36" s="82"/>
      <c r="AG36" s="82"/>
    </row>
    <row r="37" spans="2:46">
      <c r="E37" s="81"/>
      <c r="F37" s="81"/>
      <c r="M37" s="69"/>
      <c r="N37" s="69"/>
      <c r="U37" s="80"/>
      <c r="V37" s="80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2:46">
      <c r="E38" s="81"/>
      <c r="F38" s="81"/>
      <c r="M38" s="69"/>
      <c r="N38" s="69"/>
      <c r="U38" s="80"/>
      <c r="V38" s="80"/>
      <c r="X38" s="82"/>
      <c r="Y38" s="82"/>
      <c r="Z38" s="82"/>
      <c r="AA38" s="82"/>
      <c r="AB38" s="82"/>
      <c r="AC38" s="82"/>
      <c r="AD38" s="82"/>
      <c r="AE38" s="82"/>
      <c r="AF38" s="82"/>
      <c r="AG38" s="82"/>
    </row>
    <row r="39" spans="2:46">
      <c r="E39" s="81"/>
      <c r="F39" s="81"/>
      <c r="M39" s="69"/>
      <c r="N39" s="69"/>
      <c r="U39" s="80"/>
      <c r="V39" s="80"/>
      <c r="X39" s="82"/>
      <c r="Y39" s="82"/>
      <c r="Z39" s="82"/>
      <c r="AA39" s="82"/>
      <c r="AB39" s="82"/>
      <c r="AC39" s="82"/>
      <c r="AD39" s="82"/>
      <c r="AE39" s="82"/>
      <c r="AF39" s="82"/>
      <c r="AG39" s="82"/>
    </row>
    <row r="40" spans="2:46">
      <c r="E40" s="81"/>
      <c r="F40" s="81"/>
      <c r="M40" s="69"/>
      <c r="N40" s="69"/>
      <c r="U40" s="80"/>
      <c r="V40" s="80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2:46" s="11" customFormat="1" ht="27" customHeight="1">
      <c r="C41" s="36"/>
      <c r="AT41" s="13"/>
    </row>
    <row r="42" spans="2:46">
      <c r="X42" s="62" t="s">
        <v>48</v>
      </c>
      <c r="Y42" s="62"/>
      <c r="Z42" s="62"/>
      <c r="AC42" s="82"/>
      <c r="AD42" s="82"/>
      <c r="AE42" s="82"/>
      <c r="AF42" s="82"/>
      <c r="AG42" s="82"/>
    </row>
    <row r="43" spans="2:46">
      <c r="X43" s="2" t="s">
        <v>1</v>
      </c>
      <c r="Y43" s="2" t="s">
        <v>49</v>
      </c>
      <c r="Z43" s="17">
        <v>8</v>
      </c>
      <c r="AA43" s="4">
        <f>SUM(Z43/Z2)</f>
        <v>0.61538461538461542</v>
      </c>
      <c r="AC43" s="82"/>
      <c r="AD43" s="82"/>
      <c r="AE43" s="82"/>
      <c r="AF43" s="82"/>
      <c r="AG43" s="82"/>
    </row>
    <row r="44" spans="2:46">
      <c r="X44" s="2" t="s">
        <v>3</v>
      </c>
      <c r="Y44" s="2" t="s">
        <v>50</v>
      </c>
      <c r="Z44" s="17">
        <v>4</v>
      </c>
      <c r="AA44" s="4">
        <f>SUM(Z44/Z2)</f>
        <v>0.30769230769230771</v>
      </c>
      <c r="AC44" s="82"/>
      <c r="AD44" s="82"/>
      <c r="AE44" s="82"/>
      <c r="AF44" s="82"/>
      <c r="AG44" s="82"/>
    </row>
    <row r="45" spans="2:46">
      <c r="X45" s="2" t="s">
        <v>5</v>
      </c>
      <c r="Y45" s="2" t="s">
        <v>51</v>
      </c>
      <c r="Z45" s="17">
        <v>1</v>
      </c>
      <c r="AA45" s="4">
        <f>SUM(Z45/Z2)</f>
        <v>7.6923076923076927E-2</v>
      </c>
      <c r="AC45" s="82"/>
      <c r="AD45" s="82"/>
      <c r="AE45" s="82"/>
      <c r="AF45" s="82"/>
      <c r="AG45" s="82"/>
    </row>
    <row r="46" spans="2:46">
      <c r="X46" s="26" t="s">
        <v>35</v>
      </c>
      <c r="Y46" s="21" t="s">
        <v>52</v>
      </c>
      <c r="Z46" s="27">
        <v>0</v>
      </c>
      <c r="AA46" s="4">
        <f>SUM(Z46/Z5)</f>
        <v>0</v>
      </c>
      <c r="AC46" s="82"/>
      <c r="AD46" s="82"/>
      <c r="AE46" s="82"/>
      <c r="AF46" s="82"/>
      <c r="AG46" s="82"/>
    </row>
    <row r="47" spans="2:46">
      <c r="X47" s="23"/>
      <c r="Y47" s="24"/>
      <c r="Z47" s="25"/>
      <c r="AA47" s="4">
        <f>SUM(AA43:AA46)</f>
        <v>1</v>
      </c>
      <c r="AC47" s="82"/>
      <c r="AD47" s="82"/>
      <c r="AE47" s="82"/>
      <c r="AF47" s="82"/>
      <c r="AG47" s="82"/>
    </row>
    <row r="48" spans="2:46">
      <c r="X48" s="7"/>
      <c r="Y48" s="7"/>
      <c r="Z48" s="7"/>
      <c r="AC48" s="82"/>
      <c r="AD48" s="82"/>
      <c r="AE48" s="82"/>
      <c r="AF48" s="82"/>
      <c r="AG48" s="82"/>
    </row>
    <row r="49" spans="25:26">
      <c r="Y49" t="s">
        <v>9</v>
      </c>
      <c r="Z49" s="1">
        <v>13</v>
      </c>
    </row>
  </sheetData>
  <mergeCells count="53">
    <mergeCell ref="AU2:AV9"/>
    <mergeCell ref="AU19:AV26"/>
    <mergeCell ref="BC11:BE17"/>
    <mergeCell ref="BC19:BE27"/>
    <mergeCell ref="BL2:BL17"/>
    <mergeCell ref="BG3:BI3"/>
    <mergeCell ref="AX3:AZ3"/>
    <mergeCell ref="AX6:AZ6"/>
    <mergeCell ref="AX20:AZ20"/>
    <mergeCell ref="AX23:AZ23"/>
    <mergeCell ref="U20:V40"/>
    <mergeCell ref="X16:AG40"/>
    <mergeCell ref="AB2:AG14"/>
    <mergeCell ref="AC42:AG48"/>
    <mergeCell ref="AM2:AO8"/>
    <mergeCell ref="AM19:AO26"/>
    <mergeCell ref="Y9:Y10"/>
    <mergeCell ref="X9:X10"/>
    <mergeCell ref="Z9:Z10"/>
    <mergeCell ref="Y12:Y13"/>
    <mergeCell ref="Z12:Z13"/>
    <mergeCell ref="X12:X13"/>
    <mergeCell ref="AI20:AK20"/>
    <mergeCell ref="X42:Z42"/>
    <mergeCell ref="L2:N17"/>
    <mergeCell ref="M19:N40"/>
    <mergeCell ref="P11:S17"/>
    <mergeCell ref="I21:J21"/>
    <mergeCell ref="I22:J22"/>
    <mergeCell ref="I23:J23"/>
    <mergeCell ref="P3:R3"/>
    <mergeCell ref="P19:R19"/>
    <mergeCell ref="Q23:Q24"/>
    <mergeCell ref="P23:P24"/>
    <mergeCell ref="R23:R24"/>
    <mergeCell ref="H3:J3"/>
    <mergeCell ref="H19:K19"/>
    <mergeCell ref="AQ20:AS20"/>
    <mergeCell ref="AQ3:AS4"/>
    <mergeCell ref="A3:C3"/>
    <mergeCell ref="A9:D17"/>
    <mergeCell ref="A19:C19"/>
    <mergeCell ref="AI3:AK3"/>
    <mergeCell ref="AI9:AI10"/>
    <mergeCell ref="AJ9:AJ10"/>
    <mergeCell ref="AK9:AK10"/>
    <mergeCell ref="AI12:AI13"/>
    <mergeCell ref="AJ12:AJ13"/>
    <mergeCell ref="AK12:AK13"/>
    <mergeCell ref="I20:J20"/>
    <mergeCell ref="X3:Z3"/>
    <mergeCell ref="E2:F17"/>
    <mergeCell ref="E19:F4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4"/>
  <sheetViews>
    <sheetView zoomScale="87" zoomScaleNormal="87" workbookViewId="0">
      <selection activeCell="C31" sqref="C31"/>
    </sheetView>
  </sheetViews>
  <sheetFormatPr baseColWidth="10" defaultRowHeight="15"/>
  <cols>
    <col min="1" max="1" width="58.7109375" customWidth="1"/>
    <col min="2" max="2" width="13.42578125" style="47" customWidth="1"/>
    <col min="3" max="3" width="13.140625" style="47" customWidth="1"/>
  </cols>
  <sheetData>
    <row r="1" spans="1:14" ht="45.95" customHeight="1" thickBot="1">
      <c r="A1" s="110" t="s">
        <v>114</v>
      </c>
      <c r="B1" s="111"/>
      <c r="C1" s="112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54.95" customHeight="1" thickBot="1">
      <c r="A2" s="40" t="s">
        <v>90</v>
      </c>
      <c r="B2" s="113" t="s">
        <v>113</v>
      </c>
      <c r="C2" s="11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>
      <c r="A3" s="39" t="s">
        <v>91</v>
      </c>
      <c r="B3" s="115">
        <v>4</v>
      </c>
      <c r="C3" s="116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>
      <c r="A4" s="37" t="s">
        <v>92</v>
      </c>
      <c r="B4" s="104">
        <v>7</v>
      </c>
      <c r="C4" s="105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>
      <c r="A5" s="37" t="s">
        <v>93</v>
      </c>
      <c r="B5" s="104">
        <v>5</v>
      </c>
      <c r="C5" s="105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4">
      <c r="A6" s="37" t="s">
        <v>94</v>
      </c>
      <c r="B6" s="104">
        <v>1</v>
      </c>
      <c r="C6" s="105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4">
      <c r="A7" s="37" t="s">
        <v>95</v>
      </c>
      <c r="B7" s="104">
        <v>2</v>
      </c>
      <c r="C7" s="105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1:14">
      <c r="A8" s="37" t="s">
        <v>96</v>
      </c>
      <c r="B8" s="104"/>
      <c r="C8" s="105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</row>
    <row r="9" spans="1:14">
      <c r="A9" s="37" t="s">
        <v>97</v>
      </c>
      <c r="B9" s="104">
        <v>1</v>
      </c>
      <c r="C9" s="105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</row>
    <row r="10" spans="1:14">
      <c r="A10" s="37" t="s">
        <v>98</v>
      </c>
      <c r="B10" s="104">
        <v>1</v>
      </c>
      <c r="C10" s="105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</row>
    <row r="11" spans="1:14">
      <c r="A11" s="37" t="s">
        <v>99</v>
      </c>
      <c r="B11" s="104">
        <v>3</v>
      </c>
      <c r="C11" s="105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</row>
    <row r="12" spans="1:14">
      <c r="A12" s="37" t="s">
        <v>100</v>
      </c>
      <c r="B12" s="104">
        <v>2</v>
      </c>
      <c r="C12" s="105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1:14">
      <c r="A13" s="37" t="s">
        <v>101</v>
      </c>
      <c r="B13" s="104">
        <v>7</v>
      </c>
      <c r="C13" s="105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4" spans="1:14">
      <c r="A14" s="37" t="s">
        <v>102</v>
      </c>
      <c r="B14" s="104"/>
      <c r="C14" s="105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</row>
    <row r="15" spans="1:14">
      <c r="A15" s="37" t="s">
        <v>103</v>
      </c>
      <c r="B15" s="104">
        <v>3</v>
      </c>
      <c r="C15" s="105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</row>
    <row r="16" spans="1:14">
      <c r="A16" s="37" t="s">
        <v>104</v>
      </c>
      <c r="B16" s="104">
        <v>2</v>
      </c>
      <c r="C16" s="105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</row>
    <row r="17" spans="1:14">
      <c r="A17" s="37" t="s">
        <v>105</v>
      </c>
      <c r="B17" s="104"/>
      <c r="C17" s="105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</row>
    <row r="18" spans="1:14">
      <c r="A18" s="37" t="s">
        <v>106</v>
      </c>
      <c r="B18" s="104">
        <v>1</v>
      </c>
      <c r="C18" s="105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</row>
    <row r="19" spans="1:14">
      <c r="A19" s="37" t="s">
        <v>107</v>
      </c>
      <c r="B19" s="104">
        <v>3</v>
      </c>
      <c r="C19" s="105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</row>
    <row r="20" spans="1:14">
      <c r="A20" s="37" t="s">
        <v>108</v>
      </c>
      <c r="B20" s="104">
        <v>2</v>
      </c>
      <c r="C20" s="105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</row>
    <row r="21" spans="1:14">
      <c r="A21" s="37" t="s">
        <v>109</v>
      </c>
      <c r="B21" s="104">
        <v>1</v>
      </c>
      <c r="C21" s="105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</row>
    <row r="22" spans="1:14">
      <c r="A22" s="37" t="s">
        <v>110</v>
      </c>
      <c r="B22" s="104">
        <v>3</v>
      </c>
      <c r="C22" s="105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</row>
    <row r="23" spans="1:14">
      <c r="A23" s="37" t="s">
        <v>111</v>
      </c>
      <c r="B23" s="104"/>
      <c r="C23" s="105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</row>
    <row r="24" spans="1:14" ht="15.75" thickBot="1">
      <c r="A24" s="38" t="s">
        <v>112</v>
      </c>
      <c r="B24" s="106">
        <v>1</v>
      </c>
      <c r="C24" s="107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  <row r="26" spans="1:14" ht="14.1" customHeight="1"/>
    <row r="27" spans="1:14" ht="15.75" hidden="1" thickBot="1"/>
    <row r="28" spans="1:14" ht="39" customHeight="1" thickBot="1">
      <c r="A28" s="102" t="s">
        <v>117</v>
      </c>
      <c r="B28" s="103"/>
      <c r="C28" s="103"/>
    </row>
    <row r="29" spans="1:14" ht="57.95" customHeight="1">
      <c r="A29" s="108" t="s">
        <v>115</v>
      </c>
      <c r="B29" s="100" t="s">
        <v>116</v>
      </c>
      <c r="C29" s="101"/>
    </row>
    <row r="30" spans="1:14" ht="42.6" customHeight="1">
      <c r="A30" s="109"/>
      <c r="B30" s="45" t="s">
        <v>118</v>
      </c>
      <c r="C30" s="46" t="s">
        <v>119</v>
      </c>
    </row>
    <row r="31" spans="1:14" ht="41.1" customHeight="1">
      <c r="A31" s="41" t="s">
        <v>120</v>
      </c>
      <c r="B31" s="48">
        <v>12</v>
      </c>
      <c r="C31" s="44">
        <v>1</v>
      </c>
    </row>
    <row r="32" spans="1:14" ht="41.1" customHeight="1">
      <c r="A32" s="41" t="s">
        <v>121</v>
      </c>
      <c r="B32" s="48">
        <v>11</v>
      </c>
      <c r="C32" s="44">
        <v>2</v>
      </c>
    </row>
    <row r="33" spans="1:3" ht="41.1" customHeight="1">
      <c r="A33" s="41" t="s">
        <v>122</v>
      </c>
      <c r="B33" s="48">
        <v>7</v>
      </c>
      <c r="C33" s="44">
        <v>6</v>
      </c>
    </row>
    <row r="34" spans="1:3" ht="41.1" customHeight="1">
      <c r="A34" s="41" t="s">
        <v>123</v>
      </c>
      <c r="B34" s="48">
        <v>8</v>
      </c>
      <c r="C34" s="44">
        <v>5</v>
      </c>
    </row>
    <row r="35" spans="1:3" ht="41.1" customHeight="1">
      <c r="A35" s="41" t="s">
        <v>124</v>
      </c>
      <c r="B35" s="48">
        <v>11</v>
      </c>
      <c r="C35" s="44">
        <v>2</v>
      </c>
    </row>
    <row r="36" spans="1:3" ht="41.1" customHeight="1">
      <c r="A36" s="41" t="s">
        <v>125</v>
      </c>
      <c r="B36" s="48">
        <v>8</v>
      </c>
      <c r="C36" s="44">
        <v>5</v>
      </c>
    </row>
    <row r="37" spans="1:3" ht="41.1" customHeight="1">
      <c r="A37" s="41" t="s">
        <v>126</v>
      </c>
      <c r="B37" s="48">
        <v>2</v>
      </c>
      <c r="C37" s="44">
        <v>11</v>
      </c>
    </row>
    <row r="38" spans="1:3" ht="41.1" customHeight="1">
      <c r="A38" s="41" t="s">
        <v>127</v>
      </c>
      <c r="B38" s="48">
        <v>10</v>
      </c>
      <c r="C38" s="44">
        <v>3</v>
      </c>
    </row>
    <row r="39" spans="1:3" ht="41.1" customHeight="1">
      <c r="A39" s="41" t="s">
        <v>128</v>
      </c>
      <c r="B39" s="48">
        <v>12</v>
      </c>
      <c r="C39" s="44">
        <v>1</v>
      </c>
    </row>
    <row r="40" spans="1:3" ht="41.1" customHeight="1">
      <c r="A40" s="41" t="s">
        <v>129</v>
      </c>
      <c r="B40" s="48">
        <v>11</v>
      </c>
      <c r="C40" s="44">
        <v>2</v>
      </c>
    </row>
    <row r="41" spans="1:3" ht="41.1" customHeight="1">
      <c r="A41" s="41" t="s">
        <v>130</v>
      </c>
      <c r="B41" s="48">
        <v>12</v>
      </c>
      <c r="C41" s="44">
        <v>1</v>
      </c>
    </row>
    <row r="42" spans="1:3" ht="41.1" customHeight="1">
      <c r="A42" s="41" t="s">
        <v>131</v>
      </c>
      <c r="B42" s="48">
        <v>12</v>
      </c>
      <c r="C42" s="44">
        <v>1</v>
      </c>
    </row>
    <row r="43" spans="1:3" ht="41.1" customHeight="1">
      <c r="A43" s="41" t="s">
        <v>132</v>
      </c>
      <c r="B43" s="48">
        <v>12</v>
      </c>
      <c r="C43" s="44">
        <v>1</v>
      </c>
    </row>
    <row r="44" spans="1:3" ht="41.1" customHeight="1">
      <c r="A44" s="41" t="s">
        <v>133</v>
      </c>
      <c r="B44" s="48">
        <v>12</v>
      </c>
      <c r="C44" s="44">
        <v>1</v>
      </c>
    </row>
    <row r="45" spans="1:3" ht="41.1" customHeight="1">
      <c r="A45" s="41" t="s">
        <v>134</v>
      </c>
      <c r="B45" s="48">
        <v>7</v>
      </c>
      <c r="C45" s="44">
        <v>6</v>
      </c>
    </row>
    <row r="46" spans="1:3" ht="41.1" customHeight="1">
      <c r="A46" s="41" t="s">
        <v>135</v>
      </c>
      <c r="B46" s="48">
        <v>12</v>
      </c>
      <c r="C46" s="44">
        <v>1</v>
      </c>
    </row>
    <row r="47" spans="1:3" ht="41.1" customHeight="1">
      <c r="A47" s="41" t="s">
        <v>136</v>
      </c>
      <c r="B47" s="48">
        <v>9</v>
      </c>
      <c r="C47" s="44">
        <v>4</v>
      </c>
    </row>
    <row r="48" spans="1:3" ht="41.1" customHeight="1">
      <c r="A48" s="41" t="s">
        <v>137</v>
      </c>
      <c r="B48" s="48">
        <v>13</v>
      </c>
      <c r="C48" s="44">
        <v>0</v>
      </c>
    </row>
    <row r="49" spans="1:3" ht="41.1" customHeight="1">
      <c r="A49" s="41" t="s">
        <v>138</v>
      </c>
      <c r="B49" s="48">
        <v>12</v>
      </c>
      <c r="C49" s="44">
        <v>1</v>
      </c>
    </row>
    <row r="50" spans="1:3" ht="41.1" customHeight="1">
      <c r="A50" s="41" t="s">
        <v>139</v>
      </c>
      <c r="B50" s="48">
        <v>13</v>
      </c>
      <c r="C50" s="44">
        <v>0</v>
      </c>
    </row>
    <row r="51" spans="1:3" ht="41.1" customHeight="1">
      <c r="A51" s="41" t="s">
        <v>140</v>
      </c>
      <c r="B51" s="48">
        <v>12</v>
      </c>
      <c r="C51" s="44">
        <v>1</v>
      </c>
    </row>
    <row r="52" spans="1:3" ht="41.1" customHeight="1">
      <c r="A52" s="41" t="s">
        <v>141</v>
      </c>
      <c r="B52" s="48">
        <v>12</v>
      </c>
      <c r="C52" s="44">
        <v>1</v>
      </c>
    </row>
    <row r="53" spans="1:3" ht="41.1" customHeight="1">
      <c r="A53" s="41" t="s">
        <v>142</v>
      </c>
      <c r="B53" s="48">
        <v>13</v>
      </c>
      <c r="C53" s="44">
        <v>0</v>
      </c>
    </row>
    <row r="54" spans="1:3" ht="41.1" customHeight="1">
      <c r="A54" s="41" t="s">
        <v>143</v>
      </c>
      <c r="B54" s="48">
        <v>11</v>
      </c>
      <c r="C54" s="44">
        <v>2</v>
      </c>
    </row>
    <row r="55" spans="1:3" ht="41.1" customHeight="1">
      <c r="A55" s="41" t="s">
        <v>144</v>
      </c>
      <c r="B55" s="48">
        <v>1</v>
      </c>
      <c r="C55" s="44">
        <v>12</v>
      </c>
    </row>
    <row r="56" spans="1:3" ht="41.1" customHeight="1">
      <c r="A56" s="41" t="s">
        <v>145</v>
      </c>
      <c r="B56" s="48">
        <v>6</v>
      </c>
      <c r="C56" s="44">
        <v>7</v>
      </c>
    </row>
    <row r="57" spans="1:3" ht="41.1" customHeight="1">
      <c r="A57" s="41" t="s">
        <v>146</v>
      </c>
      <c r="B57" s="48">
        <v>7</v>
      </c>
      <c r="C57" s="44">
        <v>6</v>
      </c>
    </row>
    <row r="58" spans="1:3" ht="41.1" customHeight="1">
      <c r="A58" s="41" t="s">
        <v>147</v>
      </c>
      <c r="B58" s="48">
        <v>8</v>
      </c>
      <c r="C58" s="44">
        <v>5</v>
      </c>
    </row>
    <row r="59" spans="1:3" ht="41.1" customHeight="1">
      <c r="A59" s="41" t="s">
        <v>148</v>
      </c>
      <c r="B59" s="48">
        <v>9</v>
      </c>
      <c r="C59" s="44">
        <v>4</v>
      </c>
    </row>
    <row r="60" spans="1:3" ht="41.1" customHeight="1">
      <c r="A60" s="41" t="s">
        <v>149</v>
      </c>
      <c r="B60" s="48">
        <v>7</v>
      </c>
      <c r="C60" s="44">
        <v>6</v>
      </c>
    </row>
    <row r="61" spans="1:3" ht="41.1" customHeight="1">
      <c r="A61" s="41" t="s">
        <v>150</v>
      </c>
      <c r="B61" s="48">
        <v>1</v>
      </c>
      <c r="C61" s="44">
        <v>12</v>
      </c>
    </row>
    <row r="62" spans="1:3" ht="41.1" customHeight="1">
      <c r="A62" s="41" t="s">
        <v>151</v>
      </c>
      <c r="B62" s="48">
        <v>6</v>
      </c>
      <c r="C62" s="44">
        <v>7</v>
      </c>
    </row>
    <row r="63" spans="1:3" ht="41.1" customHeight="1">
      <c r="A63" s="41" t="s">
        <v>152</v>
      </c>
      <c r="B63" s="48">
        <v>7</v>
      </c>
      <c r="C63" s="44">
        <v>6</v>
      </c>
    </row>
    <row r="64" spans="1:3" ht="41.1" customHeight="1" thickBot="1">
      <c r="A64" s="42" t="s">
        <v>153</v>
      </c>
      <c r="B64" s="48">
        <v>7</v>
      </c>
      <c r="C64" s="44">
        <v>6</v>
      </c>
    </row>
  </sheetData>
  <mergeCells count="27">
    <mergeCell ref="B18:C18"/>
    <mergeCell ref="B19:C19"/>
    <mergeCell ref="B8:C8"/>
    <mergeCell ref="B9:C9"/>
    <mergeCell ref="B10:C10"/>
    <mergeCell ref="B11:C11"/>
    <mergeCell ref="B12:C12"/>
    <mergeCell ref="B13:C13"/>
    <mergeCell ref="A1:C1"/>
    <mergeCell ref="B14:C14"/>
    <mergeCell ref="B15:C15"/>
    <mergeCell ref="B16:C16"/>
    <mergeCell ref="B17:C17"/>
    <mergeCell ref="B2:C2"/>
    <mergeCell ref="B3:C3"/>
    <mergeCell ref="B4:C4"/>
    <mergeCell ref="B5:C5"/>
    <mergeCell ref="B6:C6"/>
    <mergeCell ref="B7:C7"/>
    <mergeCell ref="B29:C29"/>
    <mergeCell ref="A28:C28"/>
    <mergeCell ref="B20:C20"/>
    <mergeCell ref="B21:C21"/>
    <mergeCell ref="B22:C22"/>
    <mergeCell ref="B23:C23"/>
    <mergeCell ref="B24:C24"/>
    <mergeCell ref="A29:A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ENCUESTADOS </vt:lpstr>
      <vt:lpstr>TABULACION 1</vt:lpstr>
      <vt:lpstr>TABULACION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1</cp:lastModifiedBy>
  <dcterms:created xsi:type="dcterms:W3CDTF">2019-11-05T20:51:52Z</dcterms:created>
  <dcterms:modified xsi:type="dcterms:W3CDTF">2020-06-17T21:04:17Z</dcterms:modified>
</cp:coreProperties>
</file>